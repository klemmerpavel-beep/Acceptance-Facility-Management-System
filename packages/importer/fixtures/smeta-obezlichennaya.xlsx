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Расчет" state="visible" r:id="rId4"/>
    <sheet sheetId="2" name="График" state="visible" r:id="rId5"/>
  </sheets>
  <calcPr calcId="171027"/>
</workbook>
</file>

<file path=xl/sharedStrings.xml><?xml version="1.0" encoding="utf-8"?>
<sst xmlns="http://schemas.openxmlformats.org/spreadsheetml/2006/main" count="388" uniqueCount="221">
  <si>
    <t>Приложение 1  Предворительный расчет                    12.11.2025</t>
  </si>
  <si>
    <t xml:space="preserve">                ПОДРЯДЧИК               №0/00</t>
  </si>
  <si>
    <t>Наименование работ</t>
  </si>
  <si>
    <t>Ед. изм.</t>
  </si>
  <si>
    <t>Кол.</t>
  </si>
  <si>
    <t>Стоимость единицы</t>
  </si>
  <si>
    <t>З/П единицы</t>
  </si>
  <si>
    <t>Общая стоимость</t>
  </si>
  <si>
    <t>З/П Рабочих</t>
  </si>
  <si>
    <t>Прибыль</t>
  </si>
  <si>
    <t>Прибыль в %</t>
  </si>
  <si>
    <t>Всего (РУБ).</t>
  </si>
  <si>
    <t>ПОДГОТОВИТЕЛЬНЫЕ РАБОТЫ</t>
  </si>
  <si>
    <t xml:space="preserve">Окрывные работы </t>
  </si>
  <si>
    <t>шт</t>
  </si>
  <si>
    <t xml:space="preserve">Полусухая стяжка </t>
  </si>
  <si>
    <t>м2</t>
  </si>
  <si>
    <t xml:space="preserve">Штукатурка стен по маякам (до 2,5 см) </t>
  </si>
  <si>
    <t>м2/мп</t>
  </si>
  <si>
    <t>Установка перфорированного уголка и планки примыкания к окну (окна, двери, стены)</t>
  </si>
  <si>
    <t>мп</t>
  </si>
  <si>
    <t>Грунтование стен ( перед штукутуркой)</t>
  </si>
  <si>
    <t>Стык плитки ламината без порога</t>
  </si>
  <si>
    <t>Фартук на кухню</t>
  </si>
  <si>
    <t xml:space="preserve">Технические отверстия в плитке </t>
  </si>
  <si>
    <t xml:space="preserve">Затирка цементная </t>
  </si>
  <si>
    <t>Итого:</t>
  </si>
  <si>
    <t>ГИПСОКАРТОН, ВОЗВЕДЕНИЕ ПЕРЕГОРОДОК</t>
  </si>
  <si>
    <t xml:space="preserve">Возведение перегородок ( Керпич) </t>
  </si>
  <si>
    <t xml:space="preserve">Перемычка </t>
  </si>
  <si>
    <t>Монтаж отверстий в ГКЛ (по факту)</t>
  </si>
  <si>
    <t>Монтаж ГКЛ стена</t>
  </si>
  <si>
    <t>Зашив инстоляций ГКЛ 2 (слоя)</t>
  </si>
  <si>
    <t>ЧЕРНОВОЙ ЭЛЕКТРОМОНТАЖ ( ПО ФАКТУ)</t>
  </si>
  <si>
    <t>Установка подрозетников</t>
  </si>
  <si>
    <t xml:space="preserve">Сверление отверстий под подрозетники (кирпич) </t>
  </si>
  <si>
    <t xml:space="preserve">Сверление отверстий под подрозетники (Бетон) </t>
  </si>
  <si>
    <t>Укладка провода 3х1.5</t>
  </si>
  <si>
    <t>Укладка провода 3х2.5</t>
  </si>
  <si>
    <t>Укладка провода в открытую (витая пара, антенна)</t>
  </si>
  <si>
    <t>Укладка кабеля 3*6</t>
  </si>
  <si>
    <t>Установка эл.щита 3бМ</t>
  </si>
  <si>
    <t>Установка автомат выключателя 1 фазного</t>
  </si>
  <si>
    <t>Комантор ( мастер выключатель)</t>
  </si>
  <si>
    <t>Монтаж расключение шины</t>
  </si>
  <si>
    <t>Установка УЗО 2-полюсного</t>
  </si>
  <si>
    <t>Установка контактора 220</t>
  </si>
  <si>
    <t>Установка счетчика э-э 1-фазного</t>
  </si>
  <si>
    <t>Демонтаж щетка квартирного</t>
  </si>
  <si>
    <t>Монтаж и распайка распределительных коробок</t>
  </si>
  <si>
    <t xml:space="preserve">Монтаж временого света </t>
  </si>
  <si>
    <t>ед</t>
  </si>
  <si>
    <t>Сверление сквозных отверстий в кирпичной стене д16L до 250 мм</t>
  </si>
  <si>
    <t>Монтаж временного разетки</t>
  </si>
  <si>
    <t>ВЫВОД ПОД СЛАБОТОЧКУ ( ОБСУДИТЬ)</t>
  </si>
  <si>
    <t>САНТЕХНИКА И ОТОПЛЕНИЕ (ПО ФАКТУ)</t>
  </si>
  <si>
    <t xml:space="preserve">Прокладка труб ( с теплоизоляцией) и вывод точек водоснабжения </t>
  </si>
  <si>
    <t>точка</t>
  </si>
  <si>
    <t>Прокладка труб и вывод точек канализации</t>
  </si>
  <si>
    <t>Штробление стены под трубы водоснабжения (кирпич) по факту</t>
  </si>
  <si>
    <t>Установка отопительного прибора с переносом труб</t>
  </si>
  <si>
    <t>Перенос счетчиков водоснабжения</t>
  </si>
  <si>
    <t xml:space="preserve">Установка монтаж аквастопа </t>
  </si>
  <si>
    <t>Монтаж отвода/тройника канализации</t>
  </si>
  <si>
    <t>Смена отвода/ тройника на стояке канализации</t>
  </si>
  <si>
    <t xml:space="preserve">Монтаж гигиенического душа встроеного </t>
  </si>
  <si>
    <t>Установка/ монтаж Инстоляции</t>
  </si>
  <si>
    <t>ВАННАЯ/САН УЗЕЛ</t>
  </si>
  <si>
    <t>Мастер ванная</t>
  </si>
  <si>
    <t>Облицовка плиткой стен</t>
  </si>
  <si>
    <t xml:space="preserve">Запил плитки под 45гр. (каждая сторона) </t>
  </si>
  <si>
    <t xml:space="preserve">Просиликонивание примыканий </t>
  </si>
  <si>
    <t xml:space="preserve">Чистый рез </t>
  </si>
  <si>
    <t>Установка ванной (экран облицованный плиткой) пеноблок</t>
  </si>
  <si>
    <t>Грунтовка</t>
  </si>
  <si>
    <t>Монтаж скрытого люка</t>
  </si>
  <si>
    <t>Ванная</t>
  </si>
  <si>
    <t>Облицовка плиткой ( 600х1200)</t>
  </si>
  <si>
    <t>п/м</t>
  </si>
  <si>
    <t>Просиликонивание примыканий (по факту)</t>
  </si>
  <si>
    <t>МАЛЯРНЫЕ РАБОТЫ И ЧИСТОВАЯ ОТДЕЛКА (ПОД ОКРАСКУ)</t>
  </si>
  <si>
    <t>Сан узел 1 этаж ( малярные работы)</t>
  </si>
  <si>
    <t>Штукатурка</t>
  </si>
  <si>
    <t>Шпаклевка ( 3 слоя)</t>
  </si>
  <si>
    <t>Грунтовка ( 2 раза)</t>
  </si>
  <si>
    <t>Шкурка ( 2 раза)</t>
  </si>
  <si>
    <t>Стеклохолст</t>
  </si>
  <si>
    <t>Сан узел 2 этаж (детский и супружеский)</t>
  </si>
  <si>
    <t>м2/пм</t>
  </si>
  <si>
    <t>откосы</t>
  </si>
  <si>
    <t>Перфорированый уголок</t>
  </si>
  <si>
    <t>Бумажный уголок</t>
  </si>
  <si>
    <t>МАЛЯРНЫЕ РАБОТЫ И ЧИСТОВАЯ ОТДЕЛКА (ПОД ОБОИ)</t>
  </si>
  <si>
    <t>Стены</t>
  </si>
  <si>
    <t>Грунтование (2 слоя)</t>
  </si>
  <si>
    <t>Шпатлевание (2 слоя)</t>
  </si>
  <si>
    <t>Шкурка ( 2 слоя)</t>
  </si>
  <si>
    <t>Обои (по факту)</t>
  </si>
  <si>
    <t xml:space="preserve">Грунтовка (1 слой) Перед обоями </t>
  </si>
  <si>
    <t>Плинтуса ( Алюминевые)</t>
  </si>
  <si>
    <t xml:space="preserve">Монтаж </t>
  </si>
  <si>
    <t>Откосы</t>
  </si>
  <si>
    <t>Шпаклевание откосов (3 слоя)</t>
  </si>
  <si>
    <t>Наклейка стеклохолста</t>
  </si>
  <si>
    <t>Зачистка (3 раза)</t>
  </si>
  <si>
    <t>Загермечивание примыкания откоса с окном</t>
  </si>
  <si>
    <t>Покраска простой не фактурной краской (стандарт) - валиком ( 2 слоя)</t>
  </si>
  <si>
    <t>Пол 1 этаж</t>
  </si>
  <si>
    <t>Обеспыливание и грунтование пола</t>
  </si>
  <si>
    <t>Облицовка пола плиткой (600*600мм)</t>
  </si>
  <si>
    <t xml:space="preserve">Затирка швов цементная </t>
  </si>
  <si>
    <t xml:space="preserve">Подрезка керамогранита (сторона) </t>
  </si>
  <si>
    <t xml:space="preserve">Защита напольного покрытия гофрокартоном </t>
  </si>
  <si>
    <t>Монтаж подложки</t>
  </si>
  <si>
    <t xml:space="preserve">Настил ламината на подложку (от вида укладки цена может меняться) </t>
  </si>
  <si>
    <t xml:space="preserve">Чистовой рез ламината </t>
  </si>
  <si>
    <t>Натяжные потолки( по факту)</t>
  </si>
  <si>
    <t xml:space="preserve">Полотно и натяжка </t>
  </si>
  <si>
    <t>Теневой профиль (Еврокраб)</t>
  </si>
  <si>
    <t xml:space="preserve">Запил под 45 градусов </t>
  </si>
  <si>
    <t>Стандартный профиль</t>
  </si>
  <si>
    <t>Вставка</t>
  </si>
  <si>
    <t xml:space="preserve">Закладная под люстру </t>
  </si>
  <si>
    <t>Скрытая ниша (ПК - 14)</t>
  </si>
  <si>
    <t xml:space="preserve">Устаонвка светодиодной ленты </t>
  </si>
  <si>
    <t>Установка блока питания</t>
  </si>
  <si>
    <t xml:space="preserve">Световые линии </t>
  </si>
  <si>
    <t>Установка светодиодной ленты</t>
  </si>
  <si>
    <t xml:space="preserve">Софты </t>
  </si>
  <si>
    <t xml:space="preserve">Доп углы </t>
  </si>
  <si>
    <t xml:space="preserve">мп </t>
  </si>
  <si>
    <t>Магнитные треки</t>
  </si>
  <si>
    <t xml:space="preserve">Запил магнитный линий </t>
  </si>
  <si>
    <t>Торец магнитной линии</t>
  </si>
  <si>
    <t xml:space="preserve">Проход по керамограниту </t>
  </si>
  <si>
    <t xml:space="preserve">Разделитель </t>
  </si>
  <si>
    <t>ЧИСТОВОЙ ЭЛЕКТРОМОНТАЖ ( По факту)</t>
  </si>
  <si>
    <t>Установка разеток, выключателей. (чистовое)</t>
  </si>
  <si>
    <t>МОНТАЖНЫЕ РАБОТЫ</t>
  </si>
  <si>
    <t>Монтаж полотенцесушителя ( стандарт), 4 точки крепежа</t>
  </si>
  <si>
    <t>Подключение сифона (стандарт)</t>
  </si>
  <si>
    <t>Монтаж шкафа-зеркала (с подсветкой)</t>
  </si>
  <si>
    <t>Установка смесителей</t>
  </si>
  <si>
    <t>Установка смесителя с лейкой (стандартный)</t>
  </si>
  <si>
    <t>Установка душевой штанги</t>
  </si>
  <si>
    <t>Монтаж ванны (стандартная форма) (по факту)</t>
  </si>
  <si>
    <t>Монтаж навесного унитаза (стоимость от вида крепежа) (по факту)</t>
  </si>
  <si>
    <t>Монтаж кнопки инсталляции</t>
  </si>
  <si>
    <t xml:space="preserve">Монтаж дверей ( стандарт) </t>
  </si>
  <si>
    <t xml:space="preserve">Монтаж двойной двери </t>
  </si>
  <si>
    <t>Монтаж Откотной двери</t>
  </si>
  <si>
    <t>Монтаж/Демонтаж радиаторов (стандарт)</t>
  </si>
  <si>
    <t>КОНДИЦИОНИРОВАНИЕ (ПО ФАКТУ)</t>
  </si>
  <si>
    <t>Черной монтаж</t>
  </si>
  <si>
    <t>Сквозное отверстие Ф52мм</t>
  </si>
  <si>
    <t>Штробление стен в Бетон (до 5*5см)</t>
  </si>
  <si>
    <t xml:space="preserve">Кранштены </t>
  </si>
  <si>
    <t>уп</t>
  </si>
  <si>
    <t>Магистраль состоящая из медных труб, трубки конденсата, утеплителя медных труб, провода ВВГнГ 4*1,5 (цена от, обсуждение по факту)</t>
  </si>
  <si>
    <t>Чистовой монтаж</t>
  </si>
  <si>
    <t>Монтаж и подключение внутреннего блока (цена от, обсуждение по факту)</t>
  </si>
  <si>
    <t>Монтаж и подключение наружного блока (цена от, обсуждение по факту)</t>
  </si>
  <si>
    <t>ИТОГО ПО РАБОТАМ:</t>
  </si>
  <si>
    <t>ДОПОЛНИТЕЛЬНЫЕ РАСХОДЫ ( ВХОДЕ РАБОТЫ)</t>
  </si>
  <si>
    <t>Доставка материала (по городу) (газель, до 1,5 тонны)</t>
  </si>
  <si>
    <t>рейс</t>
  </si>
  <si>
    <t>Доставка материала (по городу) (легковой транспорт)</t>
  </si>
  <si>
    <t>Вывоз мусора (по факту) Камаз ( по городу)</t>
  </si>
  <si>
    <t>Вывоз мусора (по факту) газель до 1,5 тонны ( по городу)</t>
  </si>
  <si>
    <t>Подсобные работы (подъем материала, подготовка объекта) по факту</t>
  </si>
  <si>
    <t>ч/ч</t>
  </si>
  <si>
    <t>Подъем материала (без лифта) по факту</t>
  </si>
  <si>
    <t>этаж</t>
  </si>
  <si>
    <t>Укрывные работы (оклейка окон, дверей, примыканий) по факту</t>
  </si>
  <si>
    <t>Сопровождение объекта прорабом и топливные расходы (% от сметы)</t>
  </si>
  <si>
    <t>%</t>
  </si>
  <si>
    <r>
      <rPr>
        <family val="1"/>
        <sz val="10"/>
        <rFont val="Times New Roman"/>
      </rPr>
      <t xml:space="preserve">Заказчик </t>
    </r>
    <r>
      <rPr>
        <u/>
        <family val="1"/>
        <sz val="10"/>
        <rFont val="Times New Roman"/>
      </rPr>
      <t xml:space="preserve">                                                      </t>
    </r>
    <r>
      <rPr>
        <family val="1"/>
        <sz val="10"/>
        <rFont val="Times New Roman"/>
      </rPr>
      <t xml:space="preserve">                                                                      Подрядчик </t>
    </r>
    <r>
      <rPr>
        <u/>
        <family val="1"/>
        <sz val="10"/>
        <rFont val="Times New Roman"/>
      </rPr>
      <t xml:space="preserve">                                                      </t>
    </r>
  </si>
  <si>
    <t>Вид Работы</t>
  </si>
  <si>
    <t>Мастер</t>
  </si>
  <si>
    <t xml:space="preserve">Коментарий </t>
  </si>
  <si>
    <t>с 15.12.25-20.12.25</t>
  </si>
  <si>
    <t>Подготовительные работы</t>
  </si>
  <si>
    <t>с 21.12.26-10.01.26</t>
  </si>
  <si>
    <t>Черновая электрика</t>
  </si>
  <si>
    <t>Мастер 1</t>
  </si>
  <si>
    <t>с 11.01.26-11.02.26</t>
  </si>
  <si>
    <t>Мастер 2</t>
  </si>
  <si>
    <t>с 12.02.26-26.02.26</t>
  </si>
  <si>
    <t>Сантехника</t>
  </si>
  <si>
    <t>Мастер 3</t>
  </si>
  <si>
    <t>с 12.02.26-26.02.27</t>
  </si>
  <si>
    <t>Кондиционирование</t>
  </si>
  <si>
    <t>с 12.02.26-30.02.28</t>
  </si>
  <si>
    <t>Вентеляция</t>
  </si>
  <si>
    <t>Мастер 4</t>
  </si>
  <si>
    <t>с 31.03.26-07.03.26</t>
  </si>
  <si>
    <t>Гипсокартон</t>
  </si>
  <si>
    <t>с 08.03.26-08.04.26</t>
  </si>
  <si>
    <t>Черновые малярные работы</t>
  </si>
  <si>
    <t>с 09.04.26-09.05.26</t>
  </si>
  <si>
    <t>Плитка/Ламинат</t>
  </si>
  <si>
    <t>Мастер 5</t>
  </si>
  <si>
    <t>с 10.05.26-17.05.26</t>
  </si>
  <si>
    <t>Плинтуса</t>
  </si>
  <si>
    <t>с 18.05.26-02.06.26</t>
  </si>
  <si>
    <t>Двери</t>
  </si>
  <si>
    <t>Мастер 6</t>
  </si>
  <si>
    <t>с 03.06.26-03.07.26</t>
  </si>
  <si>
    <t>Покраска ( если будут карнизы) то после потолка</t>
  </si>
  <si>
    <t>с 04.07.26-24.07.27</t>
  </si>
  <si>
    <t>Натяжные потолки</t>
  </si>
  <si>
    <t>Мастер 7</t>
  </si>
  <si>
    <t>с 04.07.26-24.07.28</t>
  </si>
  <si>
    <t>Чистовая электрика</t>
  </si>
  <si>
    <t>с 04.07.26-24.07.29</t>
  </si>
  <si>
    <t>Чистовая сантехника</t>
  </si>
  <si>
    <t>с 25.07.26-15.08.25</t>
  </si>
  <si>
    <t>Обрамление лестницы</t>
  </si>
  <si>
    <t xml:space="preserve">Мебелирование </t>
  </si>
  <si>
    <t>начало 15.12.25</t>
  </si>
  <si>
    <t>Конец 15.08.26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</si>
</sst>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.mm.yyyy;@"/>
    <numFmt numFmtId="165" formatCode="#,##0 &quot;₽&quot;"/>
    <numFmt numFmtId="166" formatCode="0.0"/>
    <numFmt numFmtId="167" formatCode="#,##0 &quot;₽&quot;;-#,##0 &quot;₽&quot;"/>
  </numFmts>
  <fonts count="13" x14ac:knownFonts="1">
    <font>
      <color theme="1"/>
      <family val="2"/>
      <scheme val="minor"/>
      <sz val="11"/>
      <name val="Calibri"/>
    </font>
    <font>
      <color rgb="FF000000"/>
      <family val="2"/>
      <sz val="8"/>
      <name val="Microsoft Sans Serif"/>
    </font>
    <font>
      <family val="1"/>
      <sz val="12"/>
      <name val="Times New Roman"/>
    </font>
    <font>
      <b/>
      <family val="1"/>
      <sz val="10"/>
      <name val="Times New Roman"/>
    </font>
    <font>
      <b/>
      <color rgb="FF000000"/>
      <family val="1"/>
      <sz val="10"/>
      <name val="Times New Roman"/>
    </font>
    <font>
      <color rgb="FF000000"/>
      <family val="1"/>
      <sz val="10"/>
      <name val="Times New Roman"/>
    </font>
    <font>
      <b/>
      <color rgb="FF000000"/>
      <family val="1"/>
      <sz val="9"/>
      <name val="Times New Roman"/>
    </font>
    <font>
      <charset val="204"/>
      <family val="1"/>
      <sz val="10"/>
      <name val="Times New Roman"/>
    </font>
    <font>
      <family val="1"/>
      <sz val="10"/>
      <name val="Times New Roman"/>
    </font>
    <font>
      <b/>
      <charset val="204"/>
      <color rgb="FF000000"/>
      <family val="1"/>
      <sz val="10"/>
      <name val="Times New Roman"/>
    </font>
    <font>
      <charset val="204"/>
      <color rgb="FF000000"/>
      <sz val="10"/>
      <name val="Times New Roman"/>
    </font>
    <font>
      <b/>
      <color rgb="FF000000"/>
      <family val="1"/>
      <sz val="11"/>
      <name val="Times New Roman"/>
    </font>
    <font>
      <color rgb="FF000000"/>
      <family val="1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7">
    <xf numFmtId="0" fontId="0" fillId="0" borderId="0" xfId="0"/>
    <xf numFmtId="164" fontId="1" fillId="0" borderId="0" xfId="0" applyNumberFormat="1" applyFont="1" applyAlignment="1">
      <alignment horizontal="right" vertical="top" shrinkToFit="1" inden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 indent="1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shrinkToFit="1"/>
    </xf>
    <xf numFmtId="165" fontId="5" fillId="0" borderId="11" xfId="0" applyNumberFormat="1" applyFont="1" applyBorder="1" applyAlignment="1">
      <alignment horizontal="center" vertical="center"/>
    </xf>
    <xf numFmtId="10" fontId="5" fillId="0" borderId="1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 wrapText="1"/>
    </xf>
    <xf numFmtId="166" fontId="5" fillId="0" borderId="4" xfId="0" applyNumberFormat="1" applyFont="1" applyBorder="1" applyAlignment="1">
      <alignment horizontal="center" vertical="top" shrinkToFit="1"/>
    </xf>
    <xf numFmtId="165" fontId="5" fillId="0" borderId="4" xfId="0" applyNumberFormat="1" applyFont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 shrinkToFit="1"/>
    </xf>
    <xf numFmtId="165" fontId="5" fillId="0" borderId="12" xfId="0" applyNumberFormat="1" applyFont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center" vertical="center" wrapText="1"/>
    </xf>
    <xf numFmtId="166" fontId="5" fillId="0" borderId="13" xfId="0" applyNumberFormat="1" applyFont="1" applyBorder="1" applyAlignment="1">
      <alignment horizontal="center" vertical="top" shrinkToFit="1"/>
    </xf>
    <xf numFmtId="165" fontId="5" fillId="0" borderId="13" xfId="0" applyNumberFormat="1" applyFont="1" applyBorder="1" applyAlignment="1">
      <alignment horizontal="center" vertical="center" shrinkToFit="1"/>
    </xf>
    <xf numFmtId="165" fontId="5" fillId="0" borderId="6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center" vertical="top" shrinkToFit="1"/>
    </xf>
    <xf numFmtId="165" fontId="5" fillId="0" borderId="1" xfId="0" applyNumberFormat="1" applyFont="1" applyBorder="1" applyAlignment="1">
      <alignment horizontal="center" vertical="center" shrinkToFit="1"/>
    </xf>
    <xf numFmtId="165" fontId="5" fillId="0" borderId="8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165" fontId="5" fillId="0" borderId="10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center" vertical="top" wrapText="1"/>
    </xf>
    <xf numFmtId="166" fontId="5" fillId="0" borderId="11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165" fontId="4" fillId="2" borderId="5" xfId="0" applyNumberFormat="1" applyFont="1" applyFill="1" applyBorder="1" applyAlignment="1">
      <alignment horizontal="center" vertical="center" shrinkToFit="1"/>
    </xf>
    <xf numFmtId="10" fontId="4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right" vertical="top" wrapText="1"/>
    </xf>
    <xf numFmtId="165" fontId="4" fillId="0" borderId="3" xfId="0" applyNumberFormat="1" applyFont="1" applyBorder="1" applyAlignment="1">
      <alignment horizontal="center" vertical="center" shrinkToFit="1"/>
    </xf>
    <xf numFmtId="10" fontId="4" fillId="0" borderId="11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top"/>
    </xf>
    <xf numFmtId="1" fontId="5" fillId="0" borderId="11" xfId="0" applyNumberFormat="1" applyFont="1" applyBorder="1" applyAlignment="1">
      <alignment horizontal="right" vertical="top" shrinkToFit="1"/>
    </xf>
    <xf numFmtId="2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165" fontId="4" fillId="0" borderId="12" xfId="0" applyNumberFormat="1" applyFont="1" applyBorder="1" applyAlignment="1">
      <alignment horizontal="center" vertical="center" shrinkToFit="1"/>
    </xf>
    <xf numFmtId="1" fontId="5" fillId="0" borderId="11" xfId="0" applyNumberFormat="1" applyFont="1" applyBorder="1" applyAlignment="1">
      <alignment horizontal="center" vertical="center" shrinkToFit="1"/>
    </xf>
    <xf numFmtId="166" fontId="5" fillId="0" borderId="13" xfId="0" applyNumberFormat="1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0" xfId="0" applyFont="1" applyBorder="1" applyAlignment="1">
      <alignment horizontal="right" vertical="center" wrapText="1"/>
    </xf>
    <xf numFmtId="165" fontId="4" fillId="2" borderId="3" xfId="0" applyNumberFormat="1" applyFont="1" applyFill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166" fontId="5" fillId="0" borderId="11" xfId="0" applyNumberFormat="1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righ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 wrapText="1"/>
    </xf>
    <xf numFmtId="165" fontId="4" fillId="2" borderId="11" xfId="0" applyNumberFormat="1" applyFont="1" applyFill="1" applyBorder="1" applyAlignment="1">
      <alignment horizontal="center" vertical="center" shrinkToFi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right" vertical="center" wrapText="1"/>
    </xf>
    <xf numFmtId="10" fontId="9" fillId="0" borderId="5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shrinkToFit="1"/>
    </xf>
    <xf numFmtId="1" fontId="5" fillId="0" borderId="5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wrapText="1"/>
    </xf>
    <xf numFmtId="165" fontId="5" fillId="0" borderId="30" xfId="0" applyNumberFormat="1" applyFont="1" applyBorder="1" applyAlignment="1">
      <alignment horizontal="center" vertical="center"/>
    </xf>
    <xf numFmtId="10" fontId="5" fillId="0" borderId="30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165" fontId="9" fillId="2" borderId="11" xfId="0" applyNumberFormat="1" applyFont="1" applyFill="1" applyBorder="1" applyAlignment="1">
      <alignment horizontal="center" vertical="center" shrinkToFit="1"/>
    </xf>
    <xf numFmtId="10" fontId="4" fillId="0" borderId="2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5" fontId="5" fillId="0" borderId="27" xfId="0" applyNumberFormat="1" applyFont="1" applyBorder="1" applyAlignment="1">
      <alignment horizontal="center" vertical="center" shrinkToFit="1"/>
    </xf>
    <xf numFmtId="165" fontId="5" fillId="0" borderId="28" xfId="0" applyNumberFormat="1" applyFont="1" applyBorder="1" applyAlignment="1">
      <alignment horizontal="center" vertical="center" shrinkToFit="1"/>
    </xf>
    <xf numFmtId="165" fontId="5" fillId="0" borderId="29" xfId="0" applyNumberFormat="1" applyFont="1" applyBorder="1" applyAlignment="1">
      <alignment horizontal="center" vertical="center" shrinkToFit="1"/>
    </xf>
    <xf numFmtId="167" fontId="5" fillId="0" borderId="13" xfId="0" applyNumberFormat="1" applyFont="1" applyBorder="1" applyAlignment="1">
      <alignment horizontal="center" vertical="center" shrinkToFit="1"/>
    </xf>
    <xf numFmtId="165" fontId="4" fillId="0" borderId="18" xfId="0" applyNumberFormat="1" applyFont="1" applyBorder="1" applyAlignment="1">
      <alignment horizontal="center" vertical="center" shrinkToFit="1"/>
    </xf>
    <xf numFmtId="165" fontId="4" fillId="0" borderId="23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top" wrapText="1"/>
    </xf>
    <xf numFmtId="165" fontId="5" fillId="0" borderId="22" xfId="0" applyNumberFormat="1" applyFont="1" applyBorder="1" applyAlignment="1">
      <alignment horizontal="center" vertical="center" shrinkToFit="1"/>
    </xf>
    <xf numFmtId="165" fontId="5" fillId="0" borderId="23" xfId="0" applyNumberFormat="1" applyFont="1" applyBorder="1" applyAlignment="1">
      <alignment horizontal="center" vertical="center" shrinkToFit="1"/>
    </xf>
    <xf numFmtId="165" fontId="5" fillId="0" borderId="24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right" vertical="top" shrinkToFit="1"/>
    </xf>
    <xf numFmtId="165" fontId="3" fillId="2" borderId="1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right" vertical="center" wrapText="1"/>
    </xf>
    <xf numFmtId="0" fontId="3" fillId="0" borderId="32" xfId="0" applyFont="1" applyBorder="1" applyAlignment="1">
      <alignment horizontal="right" vertical="center" wrapText="1"/>
    </xf>
    <xf numFmtId="0" fontId="3" fillId="0" borderId="33" xfId="0" applyFont="1" applyBorder="1" applyAlignment="1">
      <alignment horizontal="right" vertical="center" wrapText="1"/>
    </xf>
    <xf numFmtId="166" fontId="5" fillId="0" borderId="13" xfId="0" applyNumberFormat="1" applyFont="1" applyBorder="1" applyAlignment="1">
      <alignment horizontal="right" vertical="top" shrinkToFit="1"/>
    </xf>
    <xf numFmtId="0" fontId="5" fillId="0" borderId="3" xfId="0" applyFont="1" applyBorder="1" applyAlignment="1">
      <alignment horizontal="center" vertical="center" shrinkToFit="1"/>
    </xf>
    <xf numFmtId="166" fontId="5" fillId="0" borderId="1" xfId="0" applyNumberFormat="1" applyFont="1" applyBorder="1" applyAlignment="1">
      <alignment horizontal="right" vertical="top" shrinkToFit="1"/>
    </xf>
    <xf numFmtId="166" fontId="5" fillId="0" borderId="11" xfId="0" applyNumberFormat="1" applyFont="1" applyBorder="1" applyAlignment="1">
      <alignment horizontal="right" vertical="top" shrinkToFit="1"/>
    </xf>
    <xf numFmtId="0" fontId="3" fillId="0" borderId="21" xfId="0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center" vertical="center" shrinkToFit="1"/>
    </xf>
    <xf numFmtId="10" fontId="4" fillId="0" borderId="5" xfId="0" applyNumberFormat="1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right" vertical="top" shrinkToFit="1"/>
    </xf>
    <xf numFmtId="165" fontId="4" fillId="0" borderId="11" xfId="0" applyNumberFormat="1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center" vertical="top" wrapText="1"/>
    </xf>
    <xf numFmtId="166" fontId="5" fillId="0" borderId="34" xfId="0" applyNumberFormat="1" applyFont="1" applyBorder="1" applyAlignment="1">
      <alignment horizontal="center" vertical="top" shrinkToFit="1"/>
    </xf>
    <xf numFmtId="165" fontId="5" fillId="0" borderId="34" xfId="0" applyNumberFormat="1" applyFont="1" applyBorder="1" applyAlignment="1">
      <alignment horizontal="center" vertical="center" shrinkToFit="1"/>
    </xf>
    <xf numFmtId="165" fontId="5" fillId="0" borderId="35" xfId="0" applyNumberFormat="1" applyFont="1" applyBorder="1" applyAlignment="1">
      <alignment horizontal="center" vertical="center" shrinkToFit="1"/>
    </xf>
    <xf numFmtId="0" fontId="8" fillId="0" borderId="36" xfId="0" applyFont="1" applyBorder="1" applyAlignment="1">
      <alignment horizontal="left" vertical="top" wrapText="1"/>
    </xf>
    <xf numFmtId="1" fontId="5" fillId="0" borderId="5" xfId="0" applyNumberFormat="1" applyFont="1" applyBorder="1" applyAlignment="1">
      <alignment horizontal="center" vertical="top" shrinkToFit="1"/>
    </xf>
    <xf numFmtId="0" fontId="8" fillId="0" borderId="37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center" vertical="top" wrapText="1"/>
    </xf>
    <xf numFmtId="166" fontId="5" fillId="0" borderId="37" xfId="0" applyNumberFormat="1" applyFont="1" applyBorder="1" applyAlignment="1">
      <alignment horizontal="center" vertical="center" shrinkToFit="1"/>
    </xf>
    <xf numFmtId="165" fontId="5" fillId="0" borderId="19" xfId="0" applyNumberFormat="1" applyFont="1" applyBorder="1" applyAlignment="1">
      <alignment horizontal="center" vertical="center" shrinkToFit="1"/>
    </xf>
    <xf numFmtId="1" fontId="5" fillId="0" borderId="11" xfId="0" applyNumberFormat="1" applyFont="1" applyBorder="1" applyAlignment="1">
      <alignment horizontal="center" vertical="top" shrinkToFit="1"/>
    </xf>
    <xf numFmtId="165" fontId="5" fillId="0" borderId="14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top" shrinkToFit="1"/>
    </xf>
    <xf numFmtId="0" fontId="3" fillId="0" borderId="11" xfId="0" applyFont="1" applyBorder="1" applyAlignment="1">
      <alignment horizontal="left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vertical="top" wrapText="1"/>
    </xf>
    <xf numFmtId="0" fontId="8" fillId="0" borderId="23" xfId="0" applyFont="1" applyBorder="1" applyAlignment="1">
      <alignment vertical="top" wrapText="1"/>
    </xf>
    <xf numFmtId="0" fontId="4" fillId="0" borderId="23" xfId="0" applyFont="1" applyBorder="1" applyAlignment="1">
      <alignment horizontal="right" vertical="center" wrapText="1"/>
    </xf>
    <xf numFmtId="0" fontId="4" fillId="0" borderId="24" xfId="0" applyFont="1" applyBorder="1" applyAlignment="1">
      <alignment horizontal="right" vertical="center" wrapText="1"/>
    </xf>
    <xf numFmtId="165" fontId="4" fillId="2" borderId="11" xfId="0" applyNumberFormat="1" applyFont="1" applyFill="1" applyBorder="1" applyAlignment="1">
      <alignment horizontal="center" vertical="center" wrapText="1"/>
    </xf>
    <xf numFmtId="165" fontId="4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27" xfId="0" applyFont="1" applyBorder="1" applyAlignment="1">
      <alignment horizontal="right" vertical="top" wrapText="1"/>
    </xf>
    <xf numFmtId="0" fontId="3" fillId="0" borderId="28" xfId="0" applyFont="1" applyBorder="1" applyAlignment="1">
      <alignment horizontal="right" vertical="top" wrapText="1"/>
    </xf>
    <xf numFmtId="0" fontId="3" fillId="0" borderId="29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wrapText="1"/>
    </xf>
    <xf numFmtId="1" fontId="5" fillId="0" borderId="3" xfId="0" applyNumberFormat="1" applyFont="1" applyBorder="1" applyAlignment="1">
      <alignment horizontal="right" vertical="top" shrinkToFit="1"/>
    </xf>
    <xf numFmtId="0" fontId="5" fillId="0" borderId="11" xfId="0" applyFont="1" applyBorder="1" applyAlignment="1">
      <alignment horizontal="right" vertical="top" wrapText="1" indent="1"/>
    </xf>
    <xf numFmtId="0" fontId="5" fillId="0" borderId="11" xfId="0" applyFont="1" applyBorder="1" applyAlignment="1">
      <alignment horizontal="left" vertical="top" wrapText="1" indent="1"/>
    </xf>
    <xf numFmtId="0" fontId="5" fillId="0" borderId="1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shrinkToFit="1"/>
    </xf>
    <xf numFmtId="1" fontId="4" fillId="0" borderId="6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top"/>
    </xf>
    <xf numFmtId="0" fontId="3" fillId="0" borderId="22" xfId="0" applyFont="1" applyBorder="1" applyAlignment="1">
      <alignment horizontal="right" vertical="top" wrapText="1"/>
    </xf>
    <xf numFmtId="0" fontId="3" fillId="0" borderId="23" xfId="0" applyFont="1" applyBorder="1" applyAlignment="1">
      <alignment horizontal="right" vertical="top" wrapText="1"/>
    </xf>
    <xf numFmtId="0" fontId="3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 inden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indent="1"/>
    </xf>
    <xf numFmtId="0" fontId="10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top"/>
    </xf>
    <xf numFmtId="0" fontId="5" fillId="4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7"/>
  <sheetViews>
    <sheetView workbookViewId="0" zoomScale="112" zoomScaleNormal="112">
      <selection activeCell="G188" sqref="G188"/>
    </sheetView>
  </sheetViews>
  <sheetFormatPr defaultRowHeight="13.2" outlineLevelRow="0" outlineLevelCol="0" x14ac:dyDescent="0.25" customHeight="1"/>
  <cols>
    <col min="1" max="1" width="65.44140625" customWidth="1"/>
    <col min="2" max="2" width="8.77734375" customWidth="1"/>
    <col min="3" max="3" width="8.109375" customWidth="1"/>
    <col min="4" max="4" width="14.6640625" customWidth="1"/>
    <col min="5" max="5" width="11.33203125" customWidth="1"/>
    <col min="6" max="7" width="18.109375" customWidth="1"/>
    <col min="8" max="8" width="14" customWidth="1"/>
    <col min="9" max="9" width="15.44140625" customWidth="1"/>
  </cols>
  <sheetData>
    <row r="1" ht="1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40.5" customHeight="1" spans="1:9" x14ac:dyDescent="0.25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7" t="s">
        <v>10</v>
      </c>
    </row>
    <row r="4" ht="27" customHeight="1" spans="1:9" x14ac:dyDescent="0.25">
      <c r="A4" s="8"/>
      <c r="B4" s="9"/>
      <c r="C4" s="9"/>
      <c r="D4" s="9"/>
      <c r="E4" s="10"/>
      <c r="F4" s="6" t="s">
        <v>11</v>
      </c>
      <c r="G4" s="10"/>
      <c r="H4" s="11"/>
      <c r="I4" s="12"/>
    </row>
    <row r="5" spans="1:9" x14ac:dyDescent="0.25">
      <c r="A5" s="13" t="s">
        <v>12</v>
      </c>
      <c r="B5" s="14"/>
      <c r="C5" s="14"/>
      <c r="D5" s="14"/>
      <c r="E5" s="14"/>
      <c r="F5" s="14"/>
      <c r="G5" s="15"/>
      <c r="H5" s="16"/>
      <c r="I5" s="17"/>
    </row>
    <row r="6" spans="1:9" x14ac:dyDescent="0.25">
      <c r="A6" s="18" t="s">
        <v>13</v>
      </c>
      <c r="B6" s="19" t="s">
        <v>14</v>
      </c>
      <c r="C6" s="19">
        <v>2</v>
      </c>
      <c r="D6" s="19">
        <v>10000</v>
      </c>
      <c r="E6" s="19">
        <v>5000</v>
      </c>
      <c r="F6" s="20">
        <f t="shared" ref="F6:F14" si="0">C6*D6</f>
        <v>20000</v>
      </c>
      <c r="G6" s="20">
        <f t="shared" ref="G6:G14" si="1">C6*E6</f>
        <v>10000</v>
      </c>
      <c r="H6" s="21">
        <f t="shared" ref="H6:H14" si="2">F6-G6</f>
        <v>10000</v>
      </c>
      <c r="I6" s="22">
        <f t="shared" ref="I6:I14" si="3">H6/F6</f>
        <v>0.5</v>
      </c>
    </row>
    <row r="7" spans="1:9" x14ac:dyDescent="0.25">
      <c r="A7" s="18" t="s">
        <v>15</v>
      </c>
      <c r="B7" s="19" t="s">
        <v>16</v>
      </c>
      <c r="C7" s="19">
        <v>120.2</v>
      </c>
      <c r="D7" s="19">
        <v>1000</v>
      </c>
      <c r="E7" s="19">
        <v>700</v>
      </c>
      <c r="F7" s="20">
        <f t="shared" si="0"/>
        <v>120200</v>
      </c>
      <c r="G7" s="20">
        <f t="shared" si="1"/>
        <v>84140</v>
      </c>
      <c r="H7" s="21">
        <f t="shared" si="2"/>
        <v>36060</v>
      </c>
      <c r="I7" s="22">
        <f t="shared" si="3"/>
        <v>0.3</v>
      </c>
    </row>
    <row r="8" spans="1:9" x14ac:dyDescent="0.25">
      <c r="A8" s="23" t="s">
        <v>17</v>
      </c>
      <c r="B8" s="24" t="s">
        <v>18</v>
      </c>
      <c r="C8" s="25">
        <v>406.91</v>
      </c>
      <c r="D8" s="26">
        <v>900</v>
      </c>
      <c r="E8" s="27">
        <v>350</v>
      </c>
      <c r="F8" s="28">
        <f t="shared" si="0"/>
        <v>366219</v>
      </c>
      <c r="G8" s="27">
        <f t="shared" si="1"/>
        <v>142418.5</v>
      </c>
      <c r="H8" s="29">
        <f t="shared" si="2"/>
        <v>223800.5</v>
      </c>
      <c r="I8" s="30">
        <f t="shared" si="3"/>
        <v>0.6111111111111112</v>
      </c>
    </row>
    <row r="9" ht="26.4" customHeight="1" spans="1:9" x14ac:dyDescent="0.25">
      <c r="A9" s="31" t="s">
        <v>19</v>
      </c>
      <c r="B9" s="32" t="s">
        <v>20</v>
      </c>
      <c r="C9" s="33">
        <v>39.07</v>
      </c>
      <c r="D9" s="34">
        <v>250</v>
      </c>
      <c r="E9" s="20">
        <v>150</v>
      </c>
      <c r="F9" s="35">
        <f t="shared" si="0"/>
        <v>9767.5</v>
      </c>
      <c r="G9" s="20">
        <f t="shared" si="1"/>
        <v>5860.5</v>
      </c>
      <c r="H9" s="21">
        <f t="shared" si="2"/>
        <v>3907</v>
      </c>
      <c r="I9" s="22">
        <f t="shared" si="3"/>
        <v>0.4</v>
      </c>
    </row>
    <row r="10" ht="14.4" customHeight="1" spans="1:9" x14ac:dyDescent="0.25">
      <c r="A10" s="36" t="s">
        <v>21</v>
      </c>
      <c r="B10" s="37" t="s">
        <v>18</v>
      </c>
      <c r="C10" s="38">
        <v>406.91</v>
      </c>
      <c r="D10" s="39">
        <v>120</v>
      </c>
      <c r="E10" s="40">
        <v>70</v>
      </c>
      <c r="F10" s="41">
        <f t="shared" si="0"/>
        <v>48829.200000000004</v>
      </c>
      <c r="G10" s="42">
        <f t="shared" si="1"/>
        <v>28483.7</v>
      </c>
      <c r="H10" s="43">
        <f t="shared" si="2"/>
        <v>20345.500000000004</v>
      </c>
      <c r="I10" s="44">
        <f t="shared" si="3"/>
        <v>0.4166666666666667</v>
      </c>
    </row>
    <row r="11" ht="13.5" customHeight="1" spans="1:9" x14ac:dyDescent="0.25">
      <c r="A11" s="45" t="s">
        <v>22</v>
      </c>
      <c r="B11" s="46" t="s">
        <v>14</v>
      </c>
      <c r="C11" s="47">
        <v>1</v>
      </c>
      <c r="D11" s="20">
        <v>1000</v>
      </c>
      <c r="E11" s="20">
        <v>500</v>
      </c>
      <c r="F11" s="20">
        <f t="shared" si="0"/>
        <v>1000</v>
      </c>
      <c r="G11" s="20">
        <f t="shared" si="1"/>
        <v>500</v>
      </c>
      <c r="H11" s="21">
        <f t="shared" si="2"/>
        <v>500</v>
      </c>
      <c r="I11" s="22">
        <f t="shared" si="3"/>
        <v>0.5</v>
      </c>
    </row>
    <row r="12" ht="13.5" customHeight="1" spans="1:9" x14ac:dyDescent="0.25">
      <c r="A12" s="45" t="s">
        <v>23</v>
      </c>
      <c r="B12" s="46" t="s">
        <v>18</v>
      </c>
      <c r="C12" s="47">
        <v>3.3</v>
      </c>
      <c r="D12" s="20">
        <v>2800</v>
      </c>
      <c r="E12" s="20">
        <v>1800</v>
      </c>
      <c r="F12" s="20">
        <f t="shared" si="0"/>
        <v>9240</v>
      </c>
      <c r="G12" s="20">
        <f t="shared" si="1"/>
        <v>5940</v>
      </c>
      <c r="H12" s="21">
        <f t="shared" si="2"/>
        <v>3300</v>
      </c>
      <c r="I12" s="22">
        <f t="shared" si="3"/>
        <v>0.35714285714285715</v>
      </c>
    </row>
    <row r="13" ht="13.5" customHeight="1" spans="1:9" x14ac:dyDescent="0.25">
      <c r="A13" s="45" t="s">
        <v>24</v>
      </c>
      <c r="B13" s="46" t="s">
        <v>14</v>
      </c>
      <c r="C13" s="47">
        <v>7</v>
      </c>
      <c r="D13" s="20">
        <v>650</v>
      </c>
      <c r="E13" s="20">
        <v>250</v>
      </c>
      <c r="F13" s="20">
        <f t="shared" si="0"/>
        <v>4550</v>
      </c>
      <c r="G13" s="20">
        <f t="shared" si="1"/>
        <v>1750</v>
      </c>
      <c r="H13" s="21">
        <f t="shared" si="2"/>
        <v>2800</v>
      </c>
      <c r="I13" s="22">
        <f t="shared" si="3"/>
        <v>0.6153846153846154</v>
      </c>
    </row>
    <row r="14" ht="13.5" customHeight="1" spans="1:9" x14ac:dyDescent="0.25">
      <c r="A14" s="45" t="s">
        <v>25</v>
      </c>
      <c r="B14" s="46" t="s">
        <v>18</v>
      </c>
      <c r="C14" s="47">
        <v>3.3</v>
      </c>
      <c r="D14" s="20">
        <v>300</v>
      </c>
      <c r="E14" s="20">
        <v>0</v>
      </c>
      <c r="F14" s="20">
        <f t="shared" si="0"/>
        <v>990</v>
      </c>
      <c r="G14" s="20">
        <f t="shared" si="1"/>
        <v>0</v>
      </c>
      <c r="H14" s="21">
        <f t="shared" si="2"/>
        <v>990</v>
      </c>
      <c r="I14" s="22">
        <f t="shared" si="3"/>
        <v>1</v>
      </c>
    </row>
    <row r="15" ht="13.5" customHeight="1" spans="1:9" x14ac:dyDescent="0.25">
      <c r="A15" s="48" t="s">
        <v>26</v>
      </c>
      <c r="B15" s="49"/>
      <c r="C15" s="49"/>
      <c r="D15" s="49"/>
      <c r="E15" s="49"/>
      <c r="F15" s="50">
        <f>SUM(F6:F14)</f>
        <v>580795.7</v>
      </c>
      <c r="G15" s="50">
        <f t="shared" ref="G15:H15" si="4">SUM(G6:G14)</f>
        <v>279092.7</v>
      </c>
      <c r="H15" s="50">
        <f t="shared" si="4"/>
        <v>301703</v>
      </c>
      <c r="I15" s="51">
        <f>AVERAGE(I6:I14)</f>
        <v>0.5222561389228056</v>
      </c>
    </row>
    <row r="16" ht="13.5" customHeight="1" spans="1:9" x14ac:dyDescent="0.25">
      <c r="A16" s="13" t="s">
        <v>27</v>
      </c>
      <c r="B16" s="14"/>
      <c r="C16" s="14"/>
      <c r="D16" s="14"/>
      <c r="E16" s="14"/>
      <c r="F16" s="52"/>
      <c r="G16" s="53"/>
      <c r="H16" s="52"/>
      <c r="I16" s="54"/>
    </row>
    <row r="17" ht="13.5" customHeight="1" spans="1:9" x14ac:dyDescent="0.25">
      <c r="A17" s="55" t="s">
        <v>28</v>
      </c>
      <c r="B17" s="56" t="s">
        <v>14</v>
      </c>
      <c r="C17" s="56">
        <v>4778</v>
      </c>
      <c r="D17" s="56">
        <v>50</v>
      </c>
      <c r="E17" s="56">
        <v>28</v>
      </c>
      <c r="F17" s="20">
        <f>C17*D17</f>
        <v>238900</v>
      </c>
      <c r="G17" s="20">
        <f>C17*E17</f>
        <v>133784</v>
      </c>
      <c r="H17" s="21">
        <f>F17-G17</f>
        <v>105116</v>
      </c>
      <c r="I17" s="22">
        <f>H17/F17</f>
        <v>0.44</v>
      </c>
    </row>
    <row r="18" ht="13.5" customHeight="1" spans="1:9" x14ac:dyDescent="0.25">
      <c r="A18" s="57" t="s">
        <v>29</v>
      </c>
      <c r="B18" s="58" t="s">
        <v>14</v>
      </c>
      <c r="C18" s="58">
        <v>10</v>
      </c>
      <c r="D18" s="58">
        <v>1400</v>
      </c>
      <c r="E18" s="56">
        <v>800</v>
      </c>
      <c r="F18" s="20">
        <f>C18*D18</f>
        <v>14000</v>
      </c>
      <c r="G18" s="20">
        <f>C18*E18</f>
        <v>8000</v>
      </c>
      <c r="H18" s="21">
        <f>F18-G18</f>
        <v>6000</v>
      </c>
      <c r="I18" s="22">
        <f>H18/F18</f>
        <v>0.42857142857142855</v>
      </c>
    </row>
    <row r="19" ht="13.5" customHeight="1" spans="1:9" x14ac:dyDescent="0.25">
      <c r="A19" s="31" t="s">
        <v>30</v>
      </c>
      <c r="B19" s="59" t="s">
        <v>14</v>
      </c>
      <c r="C19" s="33">
        <v>12</v>
      </c>
      <c r="D19" s="34">
        <v>250</v>
      </c>
      <c r="E19" s="20">
        <v>150</v>
      </c>
      <c r="F19" s="60">
        <f t="shared" ref="F19:F21" si="5">C19*D19</f>
        <v>3000</v>
      </c>
      <c r="G19" s="20">
        <f t="shared" ref="G19:G21" si="6">C19*E19</f>
        <v>1800</v>
      </c>
      <c r="H19" s="21">
        <f t="shared" ref="H19:H21" si="7">F19-G19</f>
        <v>1200</v>
      </c>
      <c r="I19" s="22">
        <f t="shared" ref="I19:I21" si="8">H19/F19</f>
        <v>0.4</v>
      </c>
    </row>
    <row r="20" ht="13.5" customHeight="1" spans="1:9" x14ac:dyDescent="0.25">
      <c r="A20" s="31" t="s">
        <v>31</v>
      </c>
      <c r="B20" s="59" t="s">
        <v>18</v>
      </c>
      <c r="C20" s="33">
        <v>5.36</v>
      </c>
      <c r="D20" s="34">
        <v>1400</v>
      </c>
      <c r="E20" s="20">
        <v>800</v>
      </c>
      <c r="F20" s="60">
        <f t="shared" si="5"/>
        <v>7504</v>
      </c>
      <c r="G20" s="20">
        <f t="shared" si="6"/>
        <v>4288</v>
      </c>
      <c r="H20" s="21">
        <f t="shared" si="7"/>
        <v>3216</v>
      </c>
      <c r="I20" s="22">
        <f t="shared" si="8"/>
        <v>0.42857142857142855</v>
      </c>
    </row>
    <row r="21" ht="13.5" customHeight="1" spans="1:9" x14ac:dyDescent="0.25">
      <c r="A21" s="31" t="s">
        <v>32</v>
      </c>
      <c r="B21" s="59" t="s">
        <v>14</v>
      </c>
      <c r="C21" s="33">
        <v>2</v>
      </c>
      <c r="D21" s="34">
        <v>7000</v>
      </c>
      <c r="E21" s="20">
        <v>3000</v>
      </c>
      <c r="F21" s="60">
        <f t="shared" si="5"/>
        <v>14000</v>
      </c>
      <c r="G21" s="20">
        <f t="shared" si="6"/>
        <v>6000</v>
      </c>
      <c r="H21" s="21">
        <f t="shared" si="7"/>
        <v>8000</v>
      </c>
      <c r="I21" s="22">
        <f t="shared" si="8"/>
        <v>0.5714285714285714</v>
      </c>
    </row>
    <row r="22" ht="13.5" customHeight="1" spans="1:9" x14ac:dyDescent="0.25">
      <c r="A22" s="48" t="s">
        <v>26</v>
      </c>
      <c r="B22" s="49"/>
      <c r="C22" s="49"/>
      <c r="D22" s="49"/>
      <c r="E22" s="61"/>
      <c r="F22" s="62">
        <f>SUM(F17:F21)</f>
        <v>277404</v>
      </c>
      <c r="G22" s="62">
        <f t="shared" ref="G22:H22" si="9">SUM(G17:G21)</f>
        <v>153872</v>
      </c>
      <c r="H22" s="62">
        <f t="shared" si="9"/>
        <v>123532</v>
      </c>
      <c r="I22" s="63">
        <f>AVERAGE(I17:I21)</f>
        <v>0.45371428571428574</v>
      </c>
    </row>
    <row r="23" ht="13.5" customHeight="1" spans="1:9" x14ac:dyDescent="0.25">
      <c r="A23" s="6" t="s">
        <v>33</v>
      </c>
      <c r="B23" s="64"/>
      <c r="C23" s="64"/>
      <c r="D23" s="64"/>
      <c r="E23" s="64"/>
      <c r="F23" s="64"/>
      <c r="G23" s="65"/>
      <c r="H23" s="66"/>
      <c r="I23" s="66"/>
    </row>
    <row r="24" spans="1:9" x14ac:dyDescent="0.25">
      <c r="A24" s="31" t="s">
        <v>34</v>
      </c>
      <c r="B24" s="59" t="s">
        <v>14</v>
      </c>
      <c r="C24" s="33">
        <v>124</v>
      </c>
      <c r="D24" s="34">
        <v>190</v>
      </c>
      <c r="E24" s="67">
        <v>130</v>
      </c>
      <c r="F24" s="60">
        <f>C24*D24</f>
        <v>23560</v>
      </c>
      <c r="G24" s="20">
        <f>C24*E24</f>
        <v>16120</v>
      </c>
      <c r="H24" s="21">
        <f>F24-G24</f>
        <v>7440</v>
      </c>
      <c r="I24" s="22">
        <f>H24/F24</f>
        <v>0.3157894736842105</v>
      </c>
    </row>
    <row r="25" spans="1:9" x14ac:dyDescent="0.25">
      <c r="A25" s="31" t="s">
        <v>35</v>
      </c>
      <c r="B25" s="59" t="s">
        <v>14</v>
      </c>
      <c r="C25" s="33">
        <v>65</v>
      </c>
      <c r="D25" s="34">
        <v>450</v>
      </c>
      <c r="E25" s="67">
        <v>200</v>
      </c>
      <c r="F25" s="60">
        <f t="shared" ref="F25:F42" si="10">C25*D25</f>
        <v>29250</v>
      </c>
      <c r="G25" s="20">
        <f t="shared" ref="G25:G42" si="11">C25*E25</f>
        <v>13000</v>
      </c>
      <c r="H25" s="21">
        <f t="shared" ref="H25:H42" si="12">F25-G25</f>
        <v>16250</v>
      </c>
      <c r="I25" s="22">
        <f t="shared" ref="I25:I42" si="13">H25/F25</f>
        <v>0.5555555555555556</v>
      </c>
    </row>
    <row r="26" spans="1:9" x14ac:dyDescent="0.25">
      <c r="A26" s="31" t="s">
        <v>36</v>
      </c>
      <c r="B26" s="59" t="s">
        <v>14</v>
      </c>
      <c r="C26" s="33">
        <v>59</v>
      </c>
      <c r="D26" s="34">
        <v>580</v>
      </c>
      <c r="E26" s="67">
        <v>350</v>
      </c>
      <c r="F26" s="60">
        <f t="shared" si="10"/>
        <v>34220</v>
      </c>
      <c r="G26" s="20">
        <f t="shared" si="11"/>
        <v>20650</v>
      </c>
      <c r="H26" s="21">
        <f t="shared" si="12"/>
        <v>13570</v>
      </c>
      <c r="I26" s="22">
        <f t="shared" si="13"/>
        <v>0.39655172413793105</v>
      </c>
    </row>
    <row r="27" ht="13.5" customHeight="1" spans="1:9" x14ac:dyDescent="0.25">
      <c r="A27" s="31" t="s">
        <v>37</v>
      </c>
      <c r="B27" s="59" t="s">
        <v>20</v>
      </c>
      <c r="C27" s="68">
        <v>450</v>
      </c>
      <c r="D27" s="34">
        <v>119</v>
      </c>
      <c r="E27" s="67">
        <v>85</v>
      </c>
      <c r="F27" s="60">
        <f t="shared" si="10"/>
        <v>53550</v>
      </c>
      <c r="G27" s="20">
        <f t="shared" si="11"/>
        <v>38250</v>
      </c>
      <c r="H27" s="21">
        <f t="shared" si="12"/>
        <v>15300</v>
      </c>
      <c r="I27" s="22">
        <f t="shared" si="13"/>
        <v>0.2857142857142857</v>
      </c>
    </row>
    <row r="28" ht="13.5" customHeight="1" spans="1:9" x14ac:dyDescent="0.25">
      <c r="A28" s="31" t="s">
        <v>38</v>
      </c>
      <c r="B28" s="59" t="s">
        <v>20</v>
      </c>
      <c r="C28" s="33">
        <v>490</v>
      </c>
      <c r="D28" s="34">
        <v>119</v>
      </c>
      <c r="E28" s="67">
        <v>85</v>
      </c>
      <c r="F28" s="60">
        <f t="shared" si="10"/>
        <v>58310</v>
      </c>
      <c r="G28" s="20">
        <f t="shared" si="11"/>
        <v>41650</v>
      </c>
      <c r="H28" s="21">
        <f t="shared" si="12"/>
        <v>16660</v>
      </c>
      <c r="I28" s="22">
        <f t="shared" si="13"/>
        <v>0.2857142857142857</v>
      </c>
    </row>
    <row r="29" ht="13.5" customHeight="1" spans="1:9" x14ac:dyDescent="0.25">
      <c r="A29" s="31" t="s">
        <v>39</v>
      </c>
      <c r="B29" s="59" t="s">
        <v>20</v>
      </c>
      <c r="C29" s="33">
        <v>95</v>
      </c>
      <c r="D29" s="34">
        <v>100</v>
      </c>
      <c r="E29" s="67">
        <v>80</v>
      </c>
      <c r="F29" s="60">
        <f t="shared" si="10"/>
        <v>9500</v>
      </c>
      <c r="G29" s="20">
        <f t="shared" si="11"/>
        <v>7600</v>
      </c>
      <c r="H29" s="21">
        <f t="shared" si="12"/>
        <v>1900</v>
      </c>
      <c r="I29" s="22">
        <f t="shared" si="13"/>
        <v>0.2</v>
      </c>
    </row>
    <row r="30" ht="13.5" customHeight="1" spans="1:9" x14ac:dyDescent="0.25">
      <c r="A30" s="31" t="s">
        <v>40</v>
      </c>
      <c r="B30" s="59" t="s">
        <v>20</v>
      </c>
      <c r="C30" s="33">
        <v>55</v>
      </c>
      <c r="D30" s="34">
        <v>170</v>
      </c>
      <c r="E30" s="67">
        <v>105</v>
      </c>
      <c r="F30" s="60">
        <f t="shared" si="10"/>
        <v>9350</v>
      </c>
      <c r="G30" s="20">
        <f t="shared" si="11"/>
        <v>5775</v>
      </c>
      <c r="H30" s="21">
        <f t="shared" si="12"/>
        <v>3575</v>
      </c>
      <c r="I30" s="22">
        <f t="shared" si="13"/>
        <v>0.38235294117647056</v>
      </c>
    </row>
    <row r="31" ht="13.5" customHeight="1" spans="1:9" x14ac:dyDescent="0.25">
      <c r="A31" s="31" t="s">
        <v>41</v>
      </c>
      <c r="B31" s="59" t="s">
        <v>14</v>
      </c>
      <c r="C31" s="33">
        <v>1</v>
      </c>
      <c r="D31" s="34">
        <v>1400</v>
      </c>
      <c r="E31" s="67">
        <v>1000</v>
      </c>
      <c r="F31" s="60">
        <f t="shared" si="10"/>
        <v>1400</v>
      </c>
      <c r="G31" s="20">
        <f t="shared" si="11"/>
        <v>1000</v>
      </c>
      <c r="H31" s="21">
        <f t="shared" si="12"/>
        <v>400</v>
      </c>
      <c r="I31" s="22">
        <f t="shared" si="13"/>
        <v>0.2857142857142857</v>
      </c>
    </row>
    <row r="32" ht="12.75" customHeight="1" spans="1:9" x14ac:dyDescent="0.25">
      <c r="A32" s="31" t="s">
        <v>42</v>
      </c>
      <c r="B32" s="59" t="s">
        <v>14</v>
      </c>
      <c r="C32" s="33">
        <v>13</v>
      </c>
      <c r="D32" s="34">
        <v>370</v>
      </c>
      <c r="E32" s="67">
        <v>250</v>
      </c>
      <c r="F32" s="60">
        <f t="shared" si="10"/>
        <v>4810</v>
      </c>
      <c r="G32" s="20">
        <f t="shared" si="11"/>
        <v>3250</v>
      </c>
      <c r="H32" s="21">
        <f t="shared" si="12"/>
        <v>1560</v>
      </c>
      <c r="I32" s="22">
        <f t="shared" si="13"/>
        <v>0.32432432432432434</v>
      </c>
    </row>
    <row r="33" ht="12.75" customHeight="1" spans="1:9" x14ac:dyDescent="0.25">
      <c r="A33" s="31" t="s">
        <v>43</v>
      </c>
      <c r="B33" s="59" t="s">
        <v>14</v>
      </c>
      <c r="C33" s="69">
        <v>1</v>
      </c>
      <c r="D33" s="34">
        <v>1500</v>
      </c>
      <c r="E33" s="67">
        <v>1000</v>
      </c>
      <c r="F33" s="60">
        <f t="shared" si="10"/>
        <v>1500</v>
      </c>
      <c r="G33" s="20">
        <f t="shared" si="11"/>
        <v>1000</v>
      </c>
      <c r="H33" s="21">
        <f t="shared" si="12"/>
        <v>500</v>
      </c>
      <c r="I33" s="22">
        <f t="shared" si="13"/>
        <v>0.3333333333333333</v>
      </c>
    </row>
    <row r="34" ht="13.5" customHeight="1" spans="1:9" x14ac:dyDescent="0.25">
      <c r="A34" s="31" t="s">
        <v>44</v>
      </c>
      <c r="B34" s="59" t="s">
        <v>14</v>
      </c>
      <c r="C34" s="33">
        <v>2</v>
      </c>
      <c r="D34" s="34">
        <v>1000</v>
      </c>
      <c r="E34" s="67">
        <v>700</v>
      </c>
      <c r="F34" s="60">
        <f t="shared" si="10"/>
        <v>2000</v>
      </c>
      <c r="G34" s="20">
        <f t="shared" si="11"/>
        <v>1400</v>
      </c>
      <c r="H34" s="21">
        <f t="shared" si="12"/>
        <v>600</v>
      </c>
      <c r="I34" s="22">
        <f t="shared" si="13"/>
        <v>0.3</v>
      </c>
    </row>
    <row r="35" ht="13.5" customHeight="1" spans="1:9" x14ac:dyDescent="0.25">
      <c r="A35" s="31" t="s">
        <v>45</v>
      </c>
      <c r="B35" s="59" t="s">
        <v>14</v>
      </c>
      <c r="C35" s="33">
        <v>6</v>
      </c>
      <c r="D35" s="34">
        <v>750</v>
      </c>
      <c r="E35" s="67">
        <v>400</v>
      </c>
      <c r="F35" s="60">
        <f t="shared" si="10"/>
        <v>4500</v>
      </c>
      <c r="G35" s="20">
        <f t="shared" si="11"/>
        <v>2400</v>
      </c>
      <c r="H35" s="21">
        <f t="shared" si="12"/>
        <v>2100</v>
      </c>
      <c r="I35" s="22">
        <f t="shared" si="13"/>
        <v>0.4666666666666667</v>
      </c>
    </row>
    <row r="36" ht="13.5" customHeight="1" spans="1:9" x14ac:dyDescent="0.25">
      <c r="A36" s="31" t="s">
        <v>46</v>
      </c>
      <c r="B36" s="59" t="s">
        <v>14</v>
      </c>
      <c r="C36" s="33">
        <v>1</v>
      </c>
      <c r="D36" s="34">
        <v>800</v>
      </c>
      <c r="E36" s="67">
        <v>450</v>
      </c>
      <c r="F36" s="60">
        <f t="shared" si="10"/>
        <v>800</v>
      </c>
      <c r="G36" s="20">
        <f t="shared" si="11"/>
        <v>450</v>
      </c>
      <c r="H36" s="21">
        <f t="shared" si="12"/>
        <v>350</v>
      </c>
      <c r="I36" s="22">
        <f t="shared" si="13"/>
        <v>0.4375</v>
      </c>
    </row>
    <row r="37" ht="13.5" customHeight="1" spans="1:9" x14ac:dyDescent="0.25">
      <c r="A37" s="31" t="s">
        <v>47</v>
      </c>
      <c r="B37" s="59" t="s">
        <v>14</v>
      </c>
      <c r="C37" s="33">
        <v>1</v>
      </c>
      <c r="D37" s="34">
        <v>1300</v>
      </c>
      <c r="E37" s="67">
        <v>900</v>
      </c>
      <c r="F37" s="60">
        <f t="shared" si="10"/>
        <v>1300</v>
      </c>
      <c r="G37" s="20">
        <f t="shared" si="11"/>
        <v>900</v>
      </c>
      <c r="H37" s="21">
        <f t="shared" si="12"/>
        <v>400</v>
      </c>
      <c r="I37" s="22">
        <f t="shared" si="13"/>
        <v>0.3076923076923077</v>
      </c>
    </row>
    <row r="38" ht="13.5" customHeight="1" spans="1:9" x14ac:dyDescent="0.25">
      <c r="A38" s="31" t="s">
        <v>48</v>
      </c>
      <c r="B38" s="59" t="s">
        <v>14</v>
      </c>
      <c r="C38" s="33">
        <v>1</v>
      </c>
      <c r="D38" s="34">
        <v>1500</v>
      </c>
      <c r="E38" s="67">
        <v>1000</v>
      </c>
      <c r="F38" s="60">
        <f t="shared" si="10"/>
        <v>1500</v>
      </c>
      <c r="G38" s="20">
        <f t="shared" si="11"/>
        <v>1000</v>
      </c>
      <c r="H38" s="21">
        <f t="shared" si="12"/>
        <v>500</v>
      </c>
      <c r="I38" s="22">
        <f t="shared" si="13"/>
        <v>0.3333333333333333</v>
      </c>
    </row>
    <row r="39" ht="13.5" customHeight="1" spans="1:9" x14ac:dyDescent="0.25">
      <c r="A39" s="31" t="s">
        <v>49</v>
      </c>
      <c r="B39" s="59" t="s">
        <v>14</v>
      </c>
      <c r="C39" s="33">
        <v>65</v>
      </c>
      <c r="D39" s="34">
        <v>700</v>
      </c>
      <c r="E39" s="67">
        <v>420</v>
      </c>
      <c r="F39" s="60">
        <f t="shared" si="10"/>
        <v>45500</v>
      </c>
      <c r="G39" s="20">
        <f t="shared" si="11"/>
        <v>27300</v>
      </c>
      <c r="H39" s="21">
        <f t="shared" si="12"/>
        <v>18200</v>
      </c>
      <c r="I39" s="22">
        <f t="shared" si="13"/>
        <v>0.4</v>
      </c>
    </row>
    <row r="40" ht="13.5" customHeight="1" spans="1:9" x14ac:dyDescent="0.25">
      <c r="A40" s="31" t="s">
        <v>50</v>
      </c>
      <c r="B40" s="59" t="s">
        <v>51</v>
      </c>
      <c r="C40" s="33">
        <v>10</v>
      </c>
      <c r="D40" s="34">
        <v>200</v>
      </c>
      <c r="E40" s="67">
        <v>100</v>
      </c>
      <c r="F40" s="60">
        <f t="shared" si="10"/>
        <v>2000</v>
      </c>
      <c r="G40" s="20">
        <f t="shared" si="11"/>
        <v>1000</v>
      </c>
      <c r="H40" s="21">
        <f t="shared" si="12"/>
        <v>1000</v>
      </c>
      <c r="I40" s="22">
        <f t="shared" si="13"/>
        <v>0.5</v>
      </c>
    </row>
    <row r="41" ht="13.5" customHeight="1" spans="1:9" x14ac:dyDescent="0.25">
      <c r="A41" s="31" t="s">
        <v>52</v>
      </c>
      <c r="B41" s="59" t="s">
        <v>14</v>
      </c>
      <c r="C41" s="33">
        <v>43</v>
      </c>
      <c r="D41" s="34">
        <v>250</v>
      </c>
      <c r="E41" s="67">
        <v>150</v>
      </c>
      <c r="F41" s="60">
        <f t="shared" si="10"/>
        <v>10750</v>
      </c>
      <c r="G41" s="20">
        <f t="shared" si="11"/>
        <v>6450</v>
      </c>
      <c r="H41" s="21">
        <f t="shared" si="12"/>
        <v>4300</v>
      </c>
      <c r="I41" s="22">
        <f t="shared" si="13"/>
        <v>0.4</v>
      </c>
    </row>
    <row r="42" spans="1:9" x14ac:dyDescent="0.25">
      <c r="A42" s="31" t="s">
        <v>53</v>
      </c>
      <c r="B42" s="59" t="s">
        <v>51</v>
      </c>
      <c r="C42" s="33">
        <v>6</v>
      </c>
      <c r="D42" s="34">
        <v>200</v>
      </c>
      <c r="E42" s="67">
        <v>100</v>
      </c>
      <c r="F42" s="35">
        <f t="shared" si="10"/>
        <v>1200</v>
      </c>
      <c r="G42" s="20">
        <f t="shared" si="11"/>
        <v>600</v>
      </c>
      <c r="H42" s="21">
        <f t="shared" si="12"/>
        <v>600</v>
      </c>
      <c r="I42" s="22">
        <f t="shared" si="13"/>
        <v>0.5</v>
      </c>
    </row>
    <row r="43" spans="1:9" x14ac:dyDescent="0.25">
      <c r="A43" s="45" t="s">
        <v>54</v>
      </c>
      <c r="B43" s="46"/>
      <c r="C43" s="47"/>
      <c r="D43" s="20"/>
      <c r="E43" s="67"/>
      <c r="F43" s="20"/>
      <c r="G43" s="20"/>
      <c r="H43" s="21"/>
      <c r="I43" s="22"/>
    </row>
    <row r="44" ht="13.5" customHeight="1" spans="1:9" x14ac:dyDescent="0.25">
      <c r="A44" s="70" t="s">
        <v>26</v>
      </c>
      <c r="B44" s="71"/>
      <c r="C44" s="71"/>
      <c r="D44" s="71"/>
      <c r="E44" s="72"/>
      <c r="F44" s="73">
        <f>SUM(F24:F43)</f>
        <v>295000</v>
      </c>
      <c r="G44" s="73">
        <f>SUM(G24:G43)</f>
        <v>189795</v>
      </c>
      <c r="H44" s="73">
        <f>SUM(H24:H43)</f>
        <v>105205</v>
      </c>
      <c r="I44" s="51">
        <f>AVERAGE(I24:I43)</f>
        <v>0.3689601324761574</v>
      </c>
    </row>
    <row r="45" ht="13.5" customHeight="1" spans="1:9" x14ac:dyDescent="0.25">
      <c r="A45" s="13" t="s">
        <v>55</v>
      </c>
      <c r="B45" s="14"/>
      <c r="C45" s="14"/>
      <c r="D45" s="14"/>
      <c r="E45" s="14"/>
      <c r="F45" s="14"/>
      <c r="G45" s="53"/>
      <c r="H45" s="52"/>
      <c r="I45" s="54"/>
    </row>
    <row r="46" ht="13.5" customHeight="1" spans="1:9" x14ac:dyDescent="0.25">
      <c r="A46" s="31" t="s">
        <v>56</v>
      </c>
      <c r="B46" s="59" t="s">
        <v>57</v>
      </c>
      <c r="C46" s="33">
        <v>40</v>
      </c>
      <c r="D46" s="34">
        <v>2700</v>
      </c>
      <c r="E46" s="74">
        <v>1500</v>
      </c>
      <c r="F46" s="60">
        <f>C46*D46</f>
        <v>108000</v>
      </c>
      <c r="G46" s="20">
        <f>C46*E46</f>
        <v>60000</v>
      </c>
      <c r="H46" s="21">
        <f>F46-G46</f>
        <v>48000</v>
      </c>
      <c r="I46" s="22">
        <f>H46/F46</f>
        <v>0.4444444444444444</v>
      </c>
    </row>
    <row r="47" ht="13.5" customHeight="1" spans="1:9" x14ac:dyDescent="0.25">
      <c r="A47" s="31" t="s">
        <v>58</v>
      </c>
      <c r="B47" s="59" t="s">
        <v>57</v>
      </c>
      <c r="C47" s="33">
        <v>12</v>
      </c>
      <c r="D47" s="34">
        <v>2000</v>
      </c>
      <c r="E47" s="74">
        <v>1500</v>
      </c>
      <c r="F47" s="60">
        <f t="shared" ref="F47:F55" si="14">C47*D47</f>
        <v>24000</v>
      </c>
      <c r="G47" s="20">
        <f t="shared" ref="G47:G55" si="15">C47*E47</f>
        <v>18000</v>
      </c>
      <c r="H47" s="21">
        <f t="shared" ref="H47:H55" si="16">F47-G47</f>
        <v>6000</v>
      </c>
      <c r="I47" s="22">
        <f>H47/F47</f>
        <v>0.25</v>
      </c>
    </row>
    <row r="48" ht="21" customHeight="1" spans="1:9" x14ac:dyDescent="0.25">
      <c r="A48" s="31" t="s">
        <v>59</v>
      </c>
      <c r="B48" s="59" t="s">
        <v>20</v>
      </c>
      <c r="C48" s="33">
        <v>16</v>
      </c>
      <c r="D48" s="34">
        <v>1400</v>
      </c>
      <c r="E48" s="74">
        <v>1000</v>
      </c>
      <c r="F48" s="60">
        <f t="shared" si="14"/>
        <v>22400</v>
      </c>
      <c r="G48" s="20">
        <f t="shared" si="15"/>
        <v>16000</v>
      </c>
      <c r="H48" s="21">
        <f t="shared" si="16"/>
        <v>6400</v>
      </c>
      <c r="I48" s="22">
        <f t="shared" ref="I48:I55" si="17">H48/F48</f>
        <v>0.2857142857142857</v>
      </c>
    </row>
    <row r="49" ht="13.5" customHeight="1" spans="1:9" x14ac:dyDescent="0.25">
      <c r="A49" s="31" t="s">
        <v>60</v>
      </c>
      <c r="B49" s="59" t="s">
        <v>14</v>
      </c>
      <c r="C49" s="33">
        <v>6</v>
      </c>
      <c r="D49" s="34">
        <v>6300</v>
      </c>
      <c r="E49" s="74">
        <v>4500</v>
      </c>
      <c r="F49" s="60">
        <f t="shared" si="14"/>
        <v>37800</v>
      </c>
      <c r="G49" s="20">
        <f t="shared" si="15"/>
        <v>27000</v>
      </c>
      <c r="H49" s="21">
        <f t="shared" si="16"/>
        <v>10800</v>
      </c>
      <c r="I49" s="22">
        <f t="shared" si="17"/>
        <v>0.2857142857142857</v>
      </c>
    </row>
    <row r="50" spans="1:9" x14ac:dyDescent="0.25">
      <c r="A50" s="31" t="s">
        <v>61</v>
      </c>
      <c r="B50" s="32" t="s">
        <v>14</v>
      </c>
      <c r="C50" s="75">
        <v>4</v>
      </c>
      <c r="D50" s="34">
        <v>3500</v>
      </c>
      <c r="E50" s="74">
        <v>2500</v>
      </c>
      <c r="F50" s="60">
        <f t="shared" si="14"/>
        <v>14000</v>
      </c>
      <c r="G50" s="20">
        <f t="shared" si="15"/>
        <v>10000</v>
      </c>
      <c r="H50" s="21">
        <f t="shared" si="16"/>
        <v>4000</v>
      </c>
      <c r="I50" s="22">
        <f t="shared" si="17"/>
        <v>0.2857142857142857</v>
      </c>
    </row>
    <row r="51" spans="1:9" x14ac:dyDescent="0.25">
      <c r="A51" s="31" t="s">
        <v>62</v>
      </c>
      <c r="B51" s="32" t="s">
        <v>14</v>
      </c>
      <c r="C51" s="75">
        <v>4</v>
      </c>
      <c r="D51" s="34">
        <v>1420</v>
      </c>
      <c r="E51" s="74">
        <v>800</v>
      </c>
      <c r="F51" s="60">
        <f t="shared" si="14"/>
        <v>5680</v>
      </c>
      <c r="G51" s="20">
        <f t="shared" si="15"/>
        <v>3200</v>
      </c>
      <c r="H51" s="21">
        <f t="shared" si="16"/>
        <v>2480</v>
      </c>
      <c r="I51" s="22">
        <f t="shared" si="17"/>
        <v>0.43661971830985913</v>
      </c>
    </row>
    <row r="52" spans="1:9" x14ac:dyDescent="0.25">
      <c r="A52" s="31" t="s">
        <v>63</v>
      </c>
      <c r="B52" s="32" t="s">
        <v>14</v>
      </c>
      <c r="C52" s="75">
        <v>8</v>
      </c>
      <c r="D52" s="34">
        <v>840</v>
      </c>
      <c r="E52" s="74">
        <v>600</v>
      </c>
      <c r="F52" s="60">
        <f t="shared" si="14"/>
        <v>6720</v>
      </c>
      <c r="G52" s="20">
        <f t="shared" si="15"/>
        <v>4800</v>
      </c>
      <c r="H52" s="21">
        <f t="shared" si="16"/>
        <v>1920</v>
      </c>
      <c r="I52" s="22">
        <f t="shared" si="17"/>
        <v>0.2857142857142857</v>
      </c>
    </row>
    <row r="53" spans="1:9" x14ac:dyDescent="0.25">
      <c r="A53" s="31" t="s">
        <v>64</v>
      </c>
      <c r="B53" s="32" t="s">
        <v>14</v>
      </c>
      <c r="C53" s="75">
        <v>2</v>
      </c>
      <c r="D53" s="34">
        <v>1820</v>
      </c>
      <c r="E53" s="74">
        <v>1300</v>
      </c>
      <c r="F53" s="60">
        <f t="shared" si="14"/>
        <v>3640</v>
      </c>
      <c r="G53" s="20">
        <f t="shared" si="15"/>
        <v>2600</v>
      </c>
      <c r="H53" s="21">
        <f t="shared" si="16"/>
        <v>1040</v>
      </c>
      <c r="I53" s="22">
        <f t="shared" si="17"/>
        <v>0.2857142857142857</v>
      </c>
    </row>
    <row r="54" ht="13.5" customHeight="1" spans="1:9" x14ac:dyDescent="0.25">
      <c r="A54" s="31" t="s">
        <v>65</v>
      </c>
      <c r="B54" s="59" t="s">
        <v>20</v>
      </c>
      <c r="C54" s="33">
        <v>2</v>
      </c>
      <c r="D54" s="34">
        <v>2520</v>
      </c>
      <c r="E54" s="74">
        <v>1800</v>
      </c>
      <c r="F54" s="60">
        <f t="shared" si="14"/>
        <v>5040</v>
      </c>
      <c r="G54" s="20">
        <f t="shared" si="15"/>
        <v>3600</v>
      </c>
      <c r="H54" s="21">
        <f t="shared" si="16"/>
        <v>1440</v>
      </c>
      <c r="I54" s="22">
        <f t="shared" si="17"/>
        <v>0.2857142857142857</v>
      </c>
    </row>
    <row r="55" ht="13.5" customHeight="1" spans="1:9" x14ac:dyDescent="0.25">
      <c r="A55" s="31" t="s">
        <v>66</v>
      </c>
      <c r="B55" s="59" t="s">
        <v>14</v>
      </c>
      <c r="C55" s="33">
        <v>2</v>
      </c>
      <c r="D55" s="34">
        <v>5000</v>
      </c>
      <c r="E55" s="74">
        <v>3000</v>
      </c>
      <c r="F55" s="60">
        <f t="shared" si="14"/>
        <v>10000</v>
      </c>
      <c r="G55" s="20">
        <f t="shared" si="15"/>
        <v>6000</v>
      </c>
      <c r="H55" s="21">
        <f t="shared" si="16"/>
        <v>4000</v>
      </c>
      <c r="I55" s="22">
        <f t="shared" si="17"/>
        <v>0.4</v>
      </c>
    </row>
    <row r="56" ht="13.5" customHeight="1" spans="1:9" x14ac:dyDescent="0.25">
      <c r="A56" s="76" t="s">
        <v>26</v>
      </c>
      <c r="B56" s="77"/>
      <c r="C56" s="77"/>
      <c r="D56" s="77"/>
      <c r="E56" s="78"/>
      <c r="F56" s="79">
        <f>SUM(F46:F55)</f>
        <v>237280</v>
      </c>
      <c r="G56" s="79">
        <f t="shared" ref="G56:H56" si="18">SUM(G46:G55)</f>
        <v>151200</v>
      </c>
      <c r="H56" s="79">
        <f t="shared" si="18"/>
        <v>86080</v>
      </c>
      <c r="I56" s="63">
        <f>AVERAGE(I46:I55)</f>
        <v>0.3245349877040017</v>
      </c>
    </row>
    <row r="57" ht="13.5" customHeight="1" spans="1:9" x14ac:dyDescent="0.25">
      <c r="A57" s="80" t="s">
        <v>67</v>
      </c>
      <c r="B57" s="81"/>
      <c r="C57" s="81"/>
      <c r="D57" s="81"/>
      <c r="E57" s="81"/>
      <c r="F57" s="82"/>
      <c r="G57" s="83"/>
      <c r="H57" s="84"/>
      <c r="I57" s="85"/>
    </row>
    <row r="58" ht="13.5" customHeight="1" spans="1:9" x14ac:dyDescent="0.25">
      <c r="A58" s="86" t="s">
        <v>68</v>
      </c>
      <c r="B58" s="87"/>
      <c r="C58" s="87"/>
      <c r="D58" s="87"/>
      <c r="E58" s="87"/>
      <c r="F58" s="88"/>
      <c r="G58" s="89"/>
      <c r="H58" s="90"/>
      <c r="I58" s="91"/>
    </row>
    <row r="59" ht="13.5" customHeight="1" spans="1:9" x14ac:dyDescent="0.25">
      <c r="A59" s="31" t="s">
        <v>69</v>
      </c>
      <c r="B59" s="59" t="s">
        <v>18</v>
      </c>
      <c r="C59" s="33">
        <v>26.35</v>
      </c>
      <c r="D59" s="34">
        <v>2800</v>
      </c>
      <c r="E59" s="20">
        <v>1800</v>
      </c>
      <c r="F59" s="60">
        <f>C59*D59</f>
        <v>73780</v>
      </c>
      <c r="G59" s="20">
        <f t="shared" ref="G59:G66" si="19">C59*E59</f>
        <v>47430</v>
      </c>
      <c r="H59" s="21">
        <f t="shared" ref="H59:H67" si="20">F59-G59</f>
        <v>26350</v>
      </c>
      <c r="I59" s="22">
        <f t="shared" ref="I59:I67" si="21">H59/F59</f>
        <v>0.35714285714285715</v>
      </c>
    </row>
    <row r="60" ht="13.5" customHeight="1" spans="1:9" x14ac:dyDescent="0.25">
      <c r="A60" s="31" t="s">
        <v>24</v>
      </c>
      <c r="B60" s="59" t="s">
        <v>14</v>
      </c>
      <c r="C60" s="33">
        <v>18</v>
      </c>
      <c r="D60" s="34">
        <v>650</v>
      </c>
      <c r="E60" s="20">
        <v>250</v>
      </c>
      <c r="F60" s="60">
        <f t="shared" ref="F60:F66" si="22">C60*D60</f>
        <v>11700</v>
      </c>
      <c r="G60" s="20">
        <f t="shared" si="19"/>
        <v>4500</v>
      </c>
      <c r="H60" s="21">
        <f t="shared" si="20"/>
        <v>7200</v>
      </c>
      <c r="I60" s="22">
        <f t="shared" si="21"/>
        <v>0.6153846153846154</v>
      </c>
    </row>
    <row r="61" ht="13.5" customHeight="1" spans="1:9" x14ac:dyDescent="0.25">
      <c r="A61" s="31" t="s">
        <v>70</v>
      </c>
      <c r="B61" s="59" t="s">
        <v>20</v>
      </c>
      <c r="C61" s="33">
        <v>7.07</v>
      </c>
      <c r="D61" s="34">
        <v>840</v>
      </c>
      <c r="E61" s="20">
        <v>600</v>
      </c>
      <c r="F61" s="60">
        <f t="shared" si="22"/>
        <v>5938.8</v>
      </c>
      <c r="G61" s="20">
        <f t="shared" si="19"/>
        <v>4242</v>
      </c>
      <c r="H61" s="21">
        <f t="shared" si="20"/>
        <v>1696.8000000000002</v>
      </c>
      <c r="I61" s="22">
        <f t="shared" si="21"/>
        <v>0.28571428571428575</v>
      </c>
    </row>
    <row r="62" ht="13.5" customHeight="1" spans="1:9" x14ac:dyDescent="0.25">
      <c r="A62" s="31" t="s">
        <v>25</v>
      </c>
      <c r="B62" s="59" t="s">
        <v>20</v>
      </c>
      <c r="C62" s="33">
        <v>26.35</v>
      </c>
      <c r="D62" s="34">
        <v>300</v>
      </c>
      <c r="E62" s="20">
        <v>0</v>
      </c>
      <c r="F62" s="60">
        <f t="shared" si="22"/>
        <v>7905</v>
      </c>
      <c r="G62" s="20">
        <f t="shared" si="19"/>
        <v>0</v>
      </c>
      <c r="H62" s="21">
        <f t="shared" si="20"/>
        <v>7905</v>
      </c>
      <c r="I62" s="22">
        <f t="shared" si="21"/>
        <v>1</v>
      </c>
    </row>
    <row r="63" ht="13.5" customHeight="1" spans="1:9" x14ac:dyDescent="0.25">
      <c r="A63" s="31" t="s">
        <v>71</v>
      </c>
      <c r="B63" s="59" t="s">
        <v>20</v>
      </c>
      <c r="C63" s="33">
        <v>12.45</v>
      </c>
      <c r="D63" s="34">
        <v>300</v>
      </c>
      <c r="E63" s="20">
        <v>200</v>
      </c>
      <c r="F63" s="60">
        <f t="shared" si="22"/>
        <v>3735</v>
      </c>
      <c r="G63" s="20">
        <f t="shared" si="19"/>
        <v>2490</v>
      </c>
      <c r="H63" s="21">
        <f t="shared" si="20"/>
        <v>1245</v>
      </c>
      <c r="I63" s="22">
        <f t="shared" si="21"/>
        <v>0.3333333333333333</v>
      </c>
    </row>
    <row r="64" ht="13.5" customHeight="1" spans="1:9" x14ac:dyDescent="0.25">
      <c r="A64" s="36" t="s">
        <v>72</v>
      </c>
      <c r="B64" s="37" t="s">
        <v>20</v>
      </c>
      <c r="C64" s="38">
        <v>16.8</v>
      </c>
      <c r="D64" s="39">
        <v>630</v>
      </c>
      <c r="E64" s="41">
        <v>450</v>
      </c>
      <c r="F64" s="35">
        <f t="shared" si="22"/>
        <v>10584</v>
      </c>
      <c r="G64" s="41">
        <f t="shared" si="19"/>
        <v>7560</v>
      </c>
      <c r="H64" s="43">
        <f t="shared" si="20"/>
        <v>3024</v>
      </c>
      <c r="I64" s="44">
        <f t="shared" si="21"/>
        <v>0.2857142857142857</v>
      </c>
    </row>
    <row r="65" ht="13.5" customHeight="1" spans="1:9" x14ac:dyDescent="0.25">
      <c r="A65" s="45" t="s">
        <v>73</v>
      </c>
      <c r="B65" s="46" t="s">
        <v>14</v>
      </c>
      <c r="C65" s="47">
        <v>1</v>
      </c>
      <c r="D65" s="20">
        <v>25000</v>
      </c>
      <c r="E65" s="20">
        <v>10000</v>
      </c>
      <c r="F65" s="20">
        <f t="shared" si="22"/>
        <v>25000</v>
      </c>
      <c r="G65" s="20">
        <f t="shared" si="19"/>
        <v>10000</v>
      </c>
      <c r="H65" s="21">
        <f t="shared" si="20"/>
        <v>15000</v>
      </c>
      <c r="I65" s="22">
        <f t="shared" si="21"/>
        <v>0.6</v>
      </c>
    </row>
    <row r="66" ht="13.5" customHeight="1" spans="1:9" x14ac:dyDescent="0.25">
      <c r="A66" s="45" t="s">
        <v>74</v>
      </c>
      <c r="B66" s="46" t="s">
        <v>18</v>
      </c>
      <c r="C66" s="47">
        <v>26.4</v>
      </c>
      <c r="D66" s="20">
        <v>120</v>
      </c>
      <c r="E66" s="20">
        <v>50</v>
      </c>
      <c r="F66" s="20">
        <f t="shared" si="22"/>
        <v>3168</v>
      </c>
      <c r="G66" s="20">
        <f t="shared" si="19"/>
        <v>1320</v>
      </c>
      <c r="H66" s="21">
        <f t="shared" si="20"/>
        <v>1848</v>
      </c>
      <c r="I66" s="22">
        <f t="shared" si="21"/>
        <v>0.5833333333333334</v>
      </c>
    </row>
    <row r="67" ht="13.5" customHeight="1" spans="1:9" x14ac:dyDescent="0.25">
      <c r="A67" s="55" t="s">
        <v>75</v>
      </c>
      <c r="B67" s="56" t="s">
        <v>14</v>
      </c>
      <c r="C67" s="92">
        <v>1</v>
      </c>
      <c r="D67" s="20">
        <v>5000</v>
      </c>
      <c r="E67" s="20">
        <v>2000</v>
      </c>
      <c r="F67" s="20">
        <f>C67*D67</f>
        <v>5000</v>
      </c>
      <c r="G67" s="20">
        <f>C67*E67</f>
        <v>2000</v>
      </c>
      <c r="H67" s="21">
        <f t="shared" si="20"/>
        <v>3000</v>
      </c>
      <c r="I67" s="22">
        <f t="shared" si="21"/>
        <v>0.6</v>
      </c>
    </row>
    <row r="68" ht="13.5" customHeight="1" spans="1:9" x14ac:dyDescent="0.25">
      <c r="A68" s="93" t="s">
        <v>26</v>
      </c>
      <c r="B68" s="94"/>
      <c r="C68" s="94"/>
      <c r="D68" s="94"/>
      <c r="E68" s="95"/>
      <c r="F68" s="96">
        <f>SUM(F59:F67)</f>
        <v>146810.8</v>
      </c>
      <c r="G68" s="96">
        <f t="shared" ref="G68:H68" si="23">SUM(G59:G67)</f>
        <v>79542</v>
      </c>
      <c r="H68" s="96">
        <f t="shared" si="23"/>
        <v>67268.8</v>
      </c>
      <c r="I68" s="63">
        <f>AVERAGE(I59:I67)</f>
        <v>0.5178469678469678</v>
      </c>
    </row>
    <row r="69" ht="13.5" customHeight="1" spans="1:9" x14ac:dyDescent="0.25">
      <c r="A69" s="97" t="s">
        <v>76</v>
      </c>
      <c r="B69" s="98"/>
      <c r="C69" s="98"/>
      <c r="D69" s="98"/>
      <c r="E69" s="98"/>
      <c r="F69" s="99"/>
      <c r="G69" s="20"/>
      <c r="H69" s="29"/>
      <c r="I69" s="30"/>
    </row>
    <row r="70" ht="13.5" customHeight="1" spans="1:9" x14ac:dyDescent="0.25">
      <c r="A70" s="36" t="s">
        <v>77</v>
      </c>
      <c r="B70" s="100" t="s">
        <v>18</v>
      </c>
      <c r="C70" s="101">
        <v>43.8</v>
      </c>
      <c r="D70" s="20">
        <v>2800</v>
      </c>
      <c r="E70" s="74">
        <v>1800</v>
      </c>
      <c r="F70" s="60">
        <f t="shared" ref="F70:F77" si="24">C70*D70</f>
        <v>122639.99999999999</v>
      </c>
      <c r="G70" s="20">
        <f>C70*E70</f>
        <v>78840</v>
      </c>
      <c r="H70" s="29">
        <f t="shared" ref="H70:H78" si="25">F70-G70</f>
        <v>43799.999999999985</v>
      </c>
      <c r="I70" s="30">
        <f>H70/F70</f>
        <v>0.35714285714285704</v>
      </c>
    </row>
    <row r="71" spans="1:9" x14ac:dyDescent="0.25">
      <c r="A71" s="36" t="s">
        <v>25</v>
      </c>
      <c r="B71" s="37" t="s">
        <v>16</v>
      </c>
      <c r="C71" s="101">
        <v>43.8</v>
      </c>
      <c r="D71" s="39">
        <v>300</v>
      </c>
      <c r="E71" s="102">
        <v>0</v>
      </c>
      <c r="F71" s="35">
        <f t="shared" si="24"/>
        <v>13140</v>
      </c>
      <c r="G71" s="20">
        <f t="shared" ref="G71:G77" si="26">C71*E71</f>
        <v>0</v>
      </c>
      <c r="H71" s="29">
        <f t="shared" si="25"/>
        <v>13140</v>
      </c>
      <c r="I71" s="30">
        <f>H71/F71</f>
        <v>1</v>
      </c>
    </row>
    <row r="72" ht="13.5" customHeight="1" spans="1:9" x14ac:dyDescent="0.25">
      <c r="A72" s="36" t="s">
        <v>72</v>
      </c>
      <c r="B72" s="103" t="s">
        <v>20</v>
      </c>
      <c r="C72" s="104">
        <v>28.6</v>
      </c>
      <c r="D72" s="39">
        <v>560</v>
      </c>
      <c r="E72" s="102">
        <v>400</v>
      </c>
      <c r="F72" s="20">
        <f t="shared" si="24"/>
        <v>16016</v>
      </c>
      <c r="G72" s="20">
        <f t="shared" si="26"/>
        <v>11440</v>
      </c>
      <c r="H72" s="29">
        <f t="shared" si="25"/>
        <v>4576</v>
      </c>
      <c r="I72" s="30">
        <f t="shared" ref="I72:I78" si="27">H72/F72</f>
        <v>0.2857142857142857</v>
      </c>
    </row>
    <row r="73" ht="13.5" customHeight="1" spans="1:9" x14ac:dyDescent="0.25">
      <c r="A73" s="36" t="s">
        <v>70</v>
      </c>
      <c r="B73" s="100" t="s">
        <v>78</v>
      </c>
      <c r="C73" s="101">
        <v>10.68</v>
      </c>
      <c r="D73" s="41">
        <v>840</v>
      </c>
      <c r="E73" s="102">
        <v>600</v>
      </c>
      <c r="F73" s="20">
        <f t="shared" si="24"/>
        <v>8971.199999999999</v>
      </c>
      <c r="G73" s="20">
        <f t="shared" si="26"/>
        <v>6408</v>
      </c>
      <c r="H73" s="29">
        <f t="shared" si="25"/>
        <v>2563.199999999999</v>
      </c>
      <c r="I73" s="30">
        <f t="shared" si="27"/>
        <v>0.28571428571428564</v>
      </c>
    </row>
    <row r="74" ht="13.5" customHeight="1" spans="1:9" x14ac:dyDescent="0.25">
      <c r="A74" s="36" t="s">
        <v>24</v>
      </c>
      <c r="B74" s="100" t="s">
        <v>14</v>
      </c>
      <c r="C74" s="101">
        <v>22</v>
      </c>
      <c r="D74" s="41">
        <v>650</v>
      </c>
      <c r="E74" s="102">
        <v>250</v>
      </c>
      <c r="F74" s="27">
        <f t="shared" si="24"/>
        <v>14300</v>
      </c>
      <c r="G74" s="20">
        <f t="shared" si="26"/>
        <v>5500</v>
      </c>
      <c r="H74" s="29">
        <f t="shared" si="25"/>
        <v>8800</v>
      </c>
      <c r="I74" s="30">
        <f t="shared" si="27"/>
        <v>0.6153846153846154</v>
      </c>
    </row>
    <row r="75" ht="13.5" customHeight="1" spans="1:9" x14ac:dyDescent="0.25">
      <c r="A75" s="45" t="s">
        <v>73</v>
      </c>
      <c r="B75" s="56" t="s">
        <v>14</v>
      </c>
      <c r="C75" s="101">
        <v>1</v>
      </c>
      <c r="D75" s="20">
        <v>25000</v>
      </c>
      <c r="E75" s="74">
        <v>10000</v>
      </c>
      <c r="F75" s="27">
        <f t="shared" si="24"/>
        <v>25000</v>
      </c>
      <c r="G75" s="20">
        <f t="shared" si="26"/>
        <v>10000</v>
      </c>
      <c r="H75" s="29">
        <f t="shared" si="25"/>
        <v>15000</v>
      </c>
      <c r="I75" s="30">
        <f t="shared" si="27"/>
        <v>0.6</v>
      </c>
    </row>
    <row r="76" ht="13.5" customHeight="1" spans="1:9" x14ac:dyDescent="0.25">
      <c r="A76" s="45" t="s">
        <v>74</v>
      </c>
      <c r="B76" s="56" t="s">
        <v>18</v>
      </c>
      <c r="C76" s="101">
        <v>43.8</v>
      </c>
      <c r="D76" s="20">
        <v>280</v>
      </c>
      <c r="E76" s="74">
        <v>200</v>
      </c>
      <c r="F76" s="27">
        <f t="shared" si="24"/>
        <v>12264</v>
      </c>
      <c r="G76" s="20">
        <f t="shared" si="26"/>
        <v>8760</v>
      </c>
      <c r="H76" s="29">
        <f t="shared" si="25"/>
        <v>3504</v>
      </c>
      <c r="I76" s="30">
        <f t="shared" si="27"/>
        <v>0.2857142857142857</v>
      </c>
    </row>
    <row r="77" ht="13.5" customHeight="1" spans="1:9" x14ac:dyDescent="0.25">
      <c r="A77" s="36" t="s">
        <v>79</v>
      </c>
      <c r="B77" s="100" t="s">
        <v>78</v>
      </c>
      <c r="C77" s="101">
        <v>6.4</v>
      </c>
      <c r="D77" s="41">
        <v>300</v>
      </c>
      <c r="E77" s="102">
        <v>200</v>
      </c>
      <c r="F77" s="27">
        <f t="shared" si="24"/>
        <v>1920</v>
      </c>
      <c r="G77" s="20">
        <f t="shared" si="26"/>
        <v>1280</v>
      </c>
      <c r="H77" s="29">
        <f t="shared" si="25"/>
        <v>640</v>
      </c>
      <c r="I77" s="30">
        <f t="shared" si="27"/>
        <v>0.3333333333333333</v>
      </c>
    </row>
    <row r="78" ht="13.5" customHeight="1" spans="1:9" x14ac:dyDescent="0.25">
      <c r="A78" s="55" t="s">
        <v>75</v>
      </c>
      <c r="B78" s="56" t="s">
        <v>14</v>
      </c>
      <c r="C78" s="101">
        <v>1</v>
      </c>
      <c r="D78" s="20">
        <v>5000</v>
      </c>
      <c r="E78" s="20">
        <v>2000</v>
      </c>
      <c r="F78" s="20">
        <f>C78*D78</f>
        <v>5000</v>
      </c>
      <c r="G78" s="20">
        <f>C78*E78</f>
        <v>2000</v>
      </c>
      <c r="H78" s="21">
        <f t="shared" si="25"/>
        <v>3000</v>
      </c>
      <c r="I78" s="22">
        <f t="shared" si="27"/>
        <v>0.6</v>
      </c>
    </row>
    <row r="79" ht="13.5" customHeight="1" spans="1:9" x14ac:dyDescent="0.25">
      <c r="A79" s="105" t="s">
        <v>26</v>
      </c>
      <c r="B79" s="94"/>
      <c r="C79" s="94"/>
      <c r="D79" s="94"/>
      <c r="E79" s="95"/>
      <c r="F79" s="50">
        <f>SUM(F70:F78)</f>
        <v>219251.2</v>
      </c>
      <c r="G79" s="50">
        <f t="shared" ref="G79:H79" si="28">SUM(G70:G78)</f>
        <v>124228</v>
      </c>
      <c r="H79" s="50">
        <f t="shared" si="28"/>
        <v>95023.19999999998</v>
      </c>
      <c r="I79" s="106">
        <f>AVERAGE(I70:I78)</f>
        <v>0.48477818477818474</v>
      </c>
    </row>
    <row r="80" spans="1:9" x14ac:dyDescent="0.25">
      <c r="A80" s="6" t="s">
        <v>80</v>
      </c>
      <c r="B80" s="64"/>
      <c r="C80" s="64"/>
      <c r="D80" s="64"/>
      <c r="E80" s="64"/>
      <c r="F80" s="64"/>
      <c r="G80" s="107"/>
      <c r="H80" s="108"/>
      <c r="I80" s="109"/>
    </row>
    <row r="81" ht="13.5" customHeight="1" spans="1:9" x14ac:dyDescent="0.25">
      <c r="A81" s="97" t="s">
        <v>81</v>
      </c>
      <c r="B81" s="98"/>
      <c r="C81" s="98"/>
      <c r="D81" s="98"/>
      <c r="E81" s="98"/>
      <c r="F81" s="99"/>
      <c r="G81" s="83"/>
      <c r="H81" s="84"/>
      <c r="I81" s="85"/>
    </row>
    <row r="82" ht="13.5" customHeight="1" spans="1:9" x14ac:dyDescent="0.25">
      <c r="A82" s="23" t="s">
        <v>82</v>
      </c>
      <c r="B82" s="24" t="s">
        <v>16</v>
      </c>
      <c r="C82" s="110">
        <v>8.95</v>
      </c>
      <c r="D82" s="26">
        <v>840</v>
      </c>
      <c r="E82" s="111">
        <v>600</v>
      </c>
      <c r="F82" s="28">
        <f>C82*D82</f>
        <v>7517.999999999999</v>
      </c>
      <c r="G82" s="27">
        <f t="shared" ref="G82:G86" si="29">C82*E82</f>
        <v>5370</v>
      </c>
      <c r="H82" s="29">
        <f>F82-G82</f>
        <v>2147.999999999999</v>
      </c>
      <c r="I82" s="30">
        <f>H82/F82</f>
        <v>0.28571428571428564</v>
      </c>
    </row>
    <row r="83" ht="13.5" customHeight="1" spans="1:9" x14ac:dyDescent="0.25">
      <c r="A83" s="31" t="s">
        <v>83</v>
      </c>
      <c r="B83" s="59" t="s">
        <v>16</v>
      </c>
      <c r="C83" s="110">
        <v>8.95</v>
      </c>
      <c r="D83" s="34">
        <v>750</v>
      </c>
      <c r="E83" s="74">
        <v>450</v>
      </c>
      <c r="F83" s="60">
        <f t="shared" ref="F83:F86" si="30">C83*D83</f>
        <v>6712.499999999999</v>
      </c>
      <c r="G83" s="20">
        <f t="shared" si="29"/>
        <v>4027.4999999999995</v>
      </c>
      <c r="H83" s="29">
        <f t="shared" ref="H83:H86" si="31">F83-G83</f>
        <v>2684.9999999999995</v>
      </c>
      <c r="I83" s="30">
        <f t="shared" ref="I83:I86" si="32">H83/F83</f>
        <v>0.39999999999999997</v>
      </c>
    </row>
    <row r="84" spans="1:9" x14ac:dyDescent="0.25">
      <c r="A84" s="31" t="s">
        <v>84</v>
      </c>
      <c r="B84" s="59" t="s">
        <v>78</v>
      </c>
      <c r="C84" s="110">
        <v>8.95</v>
      </c>
      <c r="D84" s="34">
        <v>500</v>
      </c>
      <c r="E84" s="74">
        <v>300</v>
      </c>
      <c r="F84" s="60">
        <f t="shared" si="30"/>
        <v>4475</v>
      </c>
      <c r="G84" s="20">
        <f t="shared" si="29"/>
        <v>2685</v>
      </c>
      <c r="H84" s="29">
        <f t="shared" si="31"/>
        <v>1790</v>
      </c>
      <c r="I84" s="30">
        <f>H84/F84</f>
        <v>0.4</v>
      </c>
    </row>
    <row r="85" ht="13.5" customHeight="1" spans="1:9" x14ac:dyDescent="0.25">
      <c r="A85" s="31" t="s">
        <v>85</v>
      </c>
      <c r="B85" s="32" t="s">
        <v>20</v>
      </c>
      <c r="C85" s="110">
        <v>8.95</v>
      </c>
      <c r="D85" s="34">
        <v>500</v>
      </c>
      <c r="E85" s="74">
        <v>300</v>
      </c>
      <c r="F85" s="60">
        <f t="shared" si="30"/>
        <v>4475</v>
      </c>
      <c r="G85" s="20">
        <f t="shared" si="29"/>
        <v>2685</v>
      </c>
      <c r="H85" s="29">
        <f t="shared" si="31"/>
        <v>1790</v>
      </c>
      <c r="I85" s="30">
        <f t="shared" si="32"/>
        <v>0.4</v>
      </c>
    </row>
    <row r="86" spans="1:9" x14ac:dyDescent="0.25">
      <c r="A86" s="55" t="s">
        <v>86</v>
      </c>
      <c r="B86" s="56" t="s">
        <v>16</v>
      </c>
      <c r="C86" s="112">
        <v>9</v>
      </c>
      <c r="D86" s="20">
        <v>500</v>
      </c>
      <c r="E86" s="74">
        <v>200</v>
      </c>
      <c r="F86" s="20">
        <f t="shared" si="30"/>
        <v>4500</v>
      </c>
      <c r="G86" s="20">
        <f t="shared" si="29"/>
        <v>1800</v>
      </c>
      <c r="H86" s="21">
        <f t="shared" si="31"/>
        <v>2700</v>
      </c>
      <c r="I86" s="22">
        <f t="shared" si="32"/>
        <v>0.6</v>
      </c>
    </row>
    <row r="87" ht="12.75" customHeight="1" spans="1:9" x14ac:dyDescent="0.25">
      <c r="A87" s="93" t="s">
        <v>26</v>
      </c>
      <c r="B87" s="94"/>
      <c r="C87" s="94"/>
      <c r="D87" s="94"/>
      <c r="E87" s="95"/>
      <c r="F87" s="96">
        <f>SUM(F82:F86)</f>
        <v>27680.5</v>
      </c>
      <c r="G87" s="96">
        <f t="shared" ref="G87:H87" si="33">SUM(G82:G86)</f>
        <v>16567.5</v>
      </c>
      <c r="H87" s="96">
        <f t="shared" si="33"/>
        <v>11112.999999999998</v>
      </c>
      <c r="I87" s="63">
        <f>AVERAGE(I82:I86)</f>
        <v>0.41714285714285715</v>
      </c>
    </row>
    <row r="88" ht="12.75" customHeight="1" spans="1:9" x14ac:dyDescent="0.25">
      <c r="A88" s="97" t="s">
        <v>87</v>
      </c>
      <c r="B88" s="98"/>
      <c r="C88" s="98"/>
      <c r="D88" s="98"/>
      <c r="E88" s="98"/>
      <c r="F88" s="99"/>
      <c r="G88" s="41"/>
      <c r="H88" s="43"/>
      <c r="I88" s="44"/>
    </row>
    <row r="89" ht="13.5" customHeight="1" spans="1:9" x14ac:dyDescent="0.25">
      <c r="A89" s="23" t="s">
        <v>82</v>
      </c>
      <c r="B89" s="24" t="s">
        <v>88</v>
      </c>
      <c r="C89" s="110">
        <v>55.56</v>
      </c>
      <c r="D89" s="26">
        <v>840</v>
      </c>
      <c r="E89" s="111">
        <v>600</v>
      </c>
      <c r="F89" s="28">
        <f>C89*D89</f>
        <v>46670.4</v>
      </c>
      <c r="G89" s="20">
        <f t="shared" ref="G89:G96" si="34">C89*E89</f>
        <v>33336</v>
      </c>
      <c r="H89" s="21">
        <f>F89-G89</f>
        <v>13334.400000000001</v>
      </c>
      <c r="I89" s="22">
        <f>H89/F89</f>
        <v>0.28571428571428575</v>
      </c>
    </row>
    <row r="90" ht="13.5" customHeight="1" spans="1:9" x14ac:dyDescent="0.25">
      <c r="A90" s="23" t="s">
        <v>83</v>
      </c>
      <c r="B90" s="24" t="s">
        <v>88</v>
      </c>
      <c r="C90" s="110">
        <v>55.56</v>
      </c>
      <c r="D90" s="26">
        <v>750</v>
      </c>
      <c r="E90" s="111">
        <v>450</v>
      </c>
      <c r="F90" s="28">
        <f t="shared" ref="F90:F94" si="35">C90*D90</f>
        <v>41670</v>
      </c>
      <c r="G90" s="20">
        <f t="shared" si="34"/>
        <v>25002</v>
      </c>
      <c r="H90" s="21">
        <f t="shared" ref="H90:H96" si="36">F90-G90</f>
        <v>16668</v>
      </c>
      <c r="I90" s="22">
        <f t="shared" ref="I90:I96" si="37">H90/F90</f>
        <v>0.4</v>
      </c>
    </row>
    <row r="91" ht="13.5" customHeight="1" spans="1:9" x14ac:dyDescent="0.25">
      <c r="A91" s="23" t="s">
        <v>84</v>
      </c>
      <c r="B91" s="24" t="s">
        <v>88</v>
      </c>
      <c r="C91" s="110">
        <v>55.56</v>
      </c>
      <c r="D91" s="26">
        <v>500</v>
      </c>
      <c r="E91" s="111">
        <v>300</v>
      </c>
      <c r="F91" s="28">
        <f t="shared" si="35"/>
        <v>27780</v>
      </c>
      <c r="G91" s="20">
        <f t="shared" si="34"/>
        <v>16668</v>
      </c>
      <c r="H91" s="21">
        <f t="shared" si="36"/>
        <v>11112</v>
      </c>
      <c r="I91" s="22">
        <f t="shared" si="37"/>
        <v>0.4</v>
      </c>
    </row>
    <row r="92" ht="13.5" customHeight="1" spans="1:9" x14ac:dyDescent="0.25">
      <c r="A92" s="23" t="s">
        <v>85</v>
      </c>
      <c r="B92" s="24" t="s">
        <v>88</v>
      </c>
      <c r="C92" s="110">
        <v>55.56</v>
      </c>
      <c r="D92" s="26">
        <v>500</v>
      </c>
      <c r="E92" s="111">
        <v>300</v>
      </c>
      <c r="F92" s="28">
        <f t="shared" si="35"/>
        <v>27780</v>
      </c>
      <c r="G92" s="20">
        <f t="shared" si="34"/>
        <v>16668</v>
      </c>
      <c r="H92" s="21">
        <f t="shared" si="36"/>
        <v>11112</v>
      </c>
      <c r="I92" s="22">
        <f t="shared" si="37"/>
        <v>0.4</v>
      </c>
    </row>
    <row r="93" spans="1:9" x14ac:dyDescent="0.25">
      <c r="A93" s="36" t="s">
        <v>89</v>
      </c>
      <c r="B93" s="37" t="s">
        <v>16</v>
      </c>
      <c r="C93" s="104">
        <v>74</v>
      </c>
      <c r="D93" s="39">
        <v>630</v>
      </c>
      <c r="E93" s="102">
        <v>350</v>
      </c>
      <c r="F93" s="35">
        <f t="shared" si="35"/>
        <v>46620</v>
      </c>
      <c r="G93" s="41">
        <f t="shared" si="34"/>
        <v>25900</v>
      </c>
      <c r="H93" s="113">
        <f t="shared" si="36"/>
        <v>20720</v>
      </c>
      <c r="I93" s="114">
        <f t="shared" si="37"/>
        <v>0.4444444444444444</v>
      </c>
    </row>
    <row r="94" spans="1:9" x14ac:dyDescent="0.25">
      <c r="A94" s="45" t="s">
        <v>90</v>
      </c>
      <c r="B94" s="46" t="s">
        <v>20</v>
      </c>
      <c r="C94" s="112">
        <v>7.02</v>
      </c>
      <c r="D94" s="20">
        <v>300</v>
      </c>
      <c r="E94" s="74">
        <v>150</v>
      </c>
      <c r="F94" s="20">
        <f t="shared" si="35"/>
        <v>2106</v>
      </c>
      <c r="G94" s="20">
        <f t="shared" si="34"/>
        <v>1053</v>
      </c>
      <c r="H94" s="21">
        <f t="shared" si="36"/>
        <v>1053</v>
      </c>
      <c r="I94" s="22">
        <f t="shared" si="37"/>
        <v>0.5</v>
      </c>
    </row>
    <row r="95" ht="13.5" customHeight="1" spans="1:9" x14ac:dyDescent="0.25">
      <c r="A95" s="45" t="s">
        <v>91</v>
      </c>
      <c r="B95" s="46" t="s">
        <v>20</v>
      </c>
      <c r="C95" s="112">
        <v>7.02</v>
      </c>
      <c r="D95" s="20">
        <v>300</v>
      </c>
      <c r="E95" s="74">
        <v>150</v>
      </c>
      <c r="F95" s="20">
        <f>C95*D95</f>
        <v>2106</v>
      </c>
      <c r="G95" s="20">
        <f t="shared" si="34"/>
        <v>1053</v>
      </c>
      <c r="H95" s="21">
        <f t="shared" si="36"/>
        <v>1053</v>
      </c>
      <c r="I95" s="22">
        <f t="shared" si="37"/>
        <v>0.5</v>
      </c>
    </row>
    <row r="96" ht="13.5" customHeight="1" spans="1:9" x14ac:dyDescent="0.25">
      <c r="A96" s="45" t="s">
        <v>86</v>
      </c>
      <c r="B96" s="46" t="s">
        <v>16</v>
      </c>
      <c r="C96" s="112">
        <v>55.6</v>
      </c>
      <c r="D96" s="20">
        <v>500</v>
      </c>
      <c r="E96" s="74">
        <v>200</v>
      </c>
      <c r="F96" s="20">
        <f>C96*D96</f>
        <v>27800</v>
      </c>
      <c r="G96" s="20">
        <f t="shared" si="34"/>
        <v>11120</v>
      </c>
      <c r="H96" s="21">
        <f t="shared" si="36"/>
        <v>16680</v>
      </c>
      <c r="I96" s="22">
        <f t="shared" si="37"/>
        <v>0.6</v>
      </c>
    </row>
    <row r="97" ht="23.4" customHeight="1" spans="1:12" x14ac:dyDescent="0.25">
      <c r="A97" s="93" t="s">
        <v>26</v>
      </c>
      <c r="B97" s="94"/>
      <c r="C97" s="94"/>
      <c r="D97" s="94"/>
      <c r="E97" s="95"/>
      <c r="F97" s="96">
        <f>SUM(F89:F96)</f>
        <v>222532.4</v>
      </c>
      <c r="G97" s="96">
        <f t="shared" ref="G97:H97" si="38">SUM(G89:G96)</f>
        <v>130800</v>
      </c>
      <c r="H97" s="96">
        <f t="shared" si="38"/>
        <v>91732.4</v>
      </c>
      <c r="I97" s="63">
        <f>AVERAGE(I89:I96)</f>
        <v>0.4412698412698413</v>
      </c>
      <c r="J97" s="115"/>
      <c r="K97" s="116"/>
      <c r="L97" s="116"/>
    </row>
    <row r="98" ht="13.5" customHeight="1" spans="1:9" x14ac:dyDescent="0.25">
      <c r="A98" s="6" t="s">
        <v>92</v>
      </c>
      <c r="B98" s="64"/>
      <c r="C98" s="64"/>
      <c r="D98" s="64"/>
      <c r="E98" s="64"/>
      <c r="F98" s="64"/>
      <c r="G98" s="107"/>
      <c r="H98" s="108"/>
      <c r="I98" s="109"/>
    </row>
    <row r="99" ht="13.5" customHeight="1" spans="1:9" x14ac:dyDescent="0.25">
      <c r="A99" s="86" t="s">
        <v>93</v>
      </c>
      <c r="B99" s="87"/>
      <c r="C99" s="87"/>
      <c r="D99" s="87"/>
      <c r="E99" s="87"/>
      <c r="F99" s="88"/>
      <c r="G99" s="89"/>
      <c r="H99" s="90"/>
      <c r="I99" s="91"/>
    </row>
    <row r="100" ht="13.5" customHeight="1" spans="1:9" x14ac:dyDescent="0.25">
      <c r="A100" s="31" t="s">
        <v>94</v>
      </c>
      <c r="B100" s="59" t="s">
        <v>18</v>
      </c>
      <c r="C100" s="33">
        <v>306.6</v>
      </c>
      <c r="D100" s="34">
        <v>240</v>
      </c>
      <c r="E100" s="74">
        <v>100</v>
      </c>
      <c r="F100" s="60">
        <f>C100*D100</f>
        <v>73584</v>
      </c>
      <c r="G100" s="20">
        <f>C100*E100</f>
        <v>30660.000000000004</v>
      </c>
      <c r="H100" s="21">
        <f t="shared" ref="H100:H104" si="39">F100-G100</f>
        <v>42924</v>
      </c>
      <c r="I100" s="22">
        <f>H100/F100</f>
        <v>0.5833333333333334</v>
      </c>
    </row>
    <row r="101" ht="13.5" customHeight="1" spans="1:9" x14ac:dyDescent="0.25">
      <c r="A101" s="31" t="s">
        <v>95</v>
      </c>
      <c r="B101" s="59" t="s">
        <v>18</v>
      </c>
      <c r="C101" s="33">
        <v>306.6</v>
      </c>
      <c r="D101" s="34">
        <v>500</v>
      </c>
      <c r="E101" s="74">
        <v>300</v>
      </c>
      <c r="F101" s="60">
        <f t="shared" ref="F101:F103" si="40">C101*D101</f>
        <v>153300</v>
      </c>
      <c r="G101" s="20">
        <f t="shared" ref="G101:G115" si="41">C101*E101</f>
        <v>91980</v>
      </c>
      <c r="H101" s="21">
        <f t="shared" si="39"/>
        <v>61320</v>
      </c>
      <c r="I101" s="22">
        <f t="shared" ref="I101:I104" si="42">H101/F101</f>
        <v>0.4</v>
      </c>
    </row>
    <row r="102" ht="13.5" customHeight="1" spans="1:9" x14ac:dyDescent="0.25">
      <c r="A102" s="31" t="s">
        <v>96</v>
      </c>
      <c r="B102" s="59" t="s">
        <v>18</v>
      </c>
      <c r="C102" s="33">
        <v>306.6</v>
      </c>
      <c r="D102" s="34">
        <v>500</v>
      </c>
      <c r="E102" s="74">
        <v>300</v>
      </c>
      <c r="F102" s="60">
        <f t="shared" si="40"/>
        <v>153300</v>
      </c>
      <c r="G102" s="20">
        <f t="shared" si="41"/>
        <v>91980</v>
      </c>
      <c r="H102" s="21">
        <f t="shared" si="39"/>
        <v>61320</v>
      </c>
      <c r="I102" s="22">
        <f t="shared" si="42"/>
        <v>0.4</v>
      </c>
    </row>
    <row r="103" ht="13.5" customHeight="1" spans="1:9" x14ac:dyDescent="0.25">
      <c r="A103" s="31" t="s">
        <v>97</v>
      </c>
      <c r="B103" s="59" t="s">
        <v>18</v>
      </c>
      <c r="C103" s="33">
        <v>306.6</v>
      </c>
      <c r="D103" s="34">
        <v>550</v>
      </c>
      <c r="E103" s="74">
        <v>350</v>
      </c>
      <c r="F103" s="60">
        <f t="shared" si="40"/>
        <v>168630</v>
      </c>
      <c r="G103" s="20">
        <f t="shared" si="41"/>
        <v>107310.00000000001</v>
      </c>
      <c r="H103" s="21">
        <f t="shared" si="39"/>
        <v>61319.999999999985</v>
      </c>
      <c r="I103" s="22">
        <f t="shared" si="42"/>
        <v>0.36363636363636354</v>
      </c>
    </row>
    <row r="104" ht="13.5" customHeight="1" spans="1:9" x14ac:dyDescent="0.25">
      <c r="A104" s="31" t="s">
        <v>98</v>
      </c>
      <c r="B104" s="59" t="s">
        <v>18</v>
      </c>
      <c r="C104" s="33">
        <v>306.6</v>
      </c>
      <c r="D104" s="34">
        <v>120</v>
      </c>
      <c r="E104" s="74">
        <v>50</v>
      </c>
      <c r="F104" s="60">
        <f>C104*D104</f>
        <v>36792</v>
      </c>
      <c r="G104" s="20">
        <f t="shared" si="41"/>
        <v>15330.000000000002</v>
      </c>
      <c r="H104" s="21">
        <f t="shared" si="39"/>
        <v>21462</v>
      </c>
      <c r="I104" s="22">
        <f t="shared" si="42"/>
        <v>0.5833333333333334</v>
      </c>
    </row>
    <row r="105" ht="13.5" customHeight="1" spans="1:9" x14ac:dyDescent="0.25">
      <c r="A105" s="93" t="s">
        <v>26</v>
      </c>
      <c r="B105" s="94"/>
      <c r="C105" s="94"/>
      <c r="D105" s="94"/>
      <c r="E105" s="95"/>
      <c r="F105" s="117">
        <f>SUM(F100:F104)</f>
        <v>585606</v>
      </c>
      <c r="G105" s="117">
        <f t="shared" ref="G105:H105" si="43">SUM(G100:G104)</f>
        <v>337260</v>
      </c>
      <c r="H105" s="117">
        <f t="shared" si="43"/>
        <v>248346</v>
      </c>
      <c r="I105" s="118">
        <f>AVERAGE(I100:I104)</f>
        <v>0.466060606060606</v>
      </c>
    </row>
    <row r="106" ht="13.5" customHeight="1" spans="1:9" x14ac:dyDescent="0.25">
      <c r="A106" s="119" t="s">
        <v>99</v>
      </c>
      <c r="B106" s="120"/>
      <c r="C106" s="120"/>
      <c r="D106" s="120"/>
      <c r="E106" s="120"/>
      <c r="F106" s="120"/>
      <c r="G106" s="121"/>
      <c r="H106" s="122"/>
      <c r="I106" s="123"/>
    </row>
    <row r="107" ht="13.5" customHeight="1" spans="1:9" x14ac:dyDescent="0.25">
      <c r="A107" s="31" t="s">
        <v>100</v>
      </c>
      <c r="B107" s="32" t="s">
        <v>20</v>
      </c>
      <c r="C107" s="33">
        <v>65</v>
      </c>
      <c r="D107" s="124">
        <v>600</v>
      </c>
      <c r="E107" s="67">
        <v>350</v>
      </c>
      <c r="F107" s="60">
        <f>C107*D107</f>
        <v>39000</v>
      </c>
      <c r="G107" s="20">
        <f t="shared" si="41"/>
        <v>22750</v>
      </c>
      <c r="H107" s="21">
        <f>F107-G107</f>
        <v>16250</v>
      </c>
      <c r="I107" s="22">
        <f>H107/F107</f>
        <v>0.4166666666666667</v>
      </c>
    </row>
    <row r="108" ht="13.5" customHeight="1" spans="1:9" x14ac:dyDescent="0.25">
      <c r="A108" s="93" t="s">
        <v>26</v>
      </c>
      <c r="B108" s="94"/>
      <c r="C108" s="94"/>
      <c r="D108" s="94"/>
      <c r="E108" s="95"/>
      <c r="F108" s="125">
        <f>SUM(F107:F107)</f>
        <v>39000</v>
      </c>
      <c r="G108" s="125">
        <f>SUM(G107:G107)</f>
        <v>22750</v>
      </c>
      <c r="H108" s="126">
        <f t="shared" ref="H108" si="44">F108-G108</f>
        <v>16250</v>
      </c>
      <c r="I108" s="118">
        <f t="shared" ref="I108" si="45">H108/F108</f>
        <v>0.4166666666666667</v>
      </c>
    </row>
    <row r="109" ht="13.5" customHeight="1" spans="1:9" x14ac:dyDescent="0.25">
      <c r="A109" s="119" t="s">
        <v>101</v>
      </c>
      <c r="B109" s="120"/>
      <c r="C109" s="120"/>
      <c r="D109" s="120"/>
      <c r="E109" s="120"/>
      <c r="F109" s="127"/>
      <c r="G109" s="128"/>
      <c r="H109" s="129"/>
      <c r="I109" s="130"/>
    </row>
    <row r="110" ht="13.5" customHeight="1" spans="1:9" x14ac:dyDescent="0.25">
      <c r="A110" s="31" t="s">
        <v>94</v>
      </c>
      <c r="B110" s="59" t="s">
        <v>20</v>
      </c>
      <c r="C110" s="75">
        <v>39.07</v>
      </c>
      <c r="D110" s="34">
        <v>240</v>
      </c>
      <c r="E110" s="67">
        <v>100</v>
      </c>
      <c r="F110" s="60">
        <f>C110*D110</f>
        <v>9376.8</v>
      </c>
      <c r="G110" s="20">
        <f t="shared" si="41"/>
        <v>3907</v>
      </c>
      <c r="H110" s="21">
        <f>F110-G110</f>
        <v>5469.799999999999</v>
      </c>
      <c r="I110" s="22">
        <f>H110/F110</f>
        <v>0.5833333333333333</v>
      </c>
    </row>
    <row r="111" ht="13.5" customHeight="1" spans="1:9" x14ac:dyDescent="0.25">
      <c r="A111" s="31" t="s">
        <v>102</v>
      </c>
      <c r="B111" s="59" t="s">
        <v>20</v>
      </c>
      <c r="C111" s="75">
        <v>39.07</v>
      </c>
      <c r="D111" s="34">
        <v>750</v>
      </c>
      <c r="E111" s="67">
        <v>450</v>
      </c>
      <c r="F111" s="60">
        <f t="shared" ref="F111:F115" si="46">C111*D111</f>
        <v>29302.5</v>
      </c>
      <c r="G111" s="20">
        <f t="shared" si="41"/>
        <v>17581.5</v>
      </c>
      <c r="H111" s="21">
        <f t="shared" ref="H111:H115" si="47">F111-G111</f>
        <v>11721</v>
      </c>
      <c r="I111" s="22">
        <f>H111/F111</f>
        <v>0.4</v>
      </c>
    </row>
    <row r="112" spans="1:9" x14ac:dyDescent="0.25">
      <c r="A112" s="31" t="s">
        <v>103</v>
      </c>
      <c r="B112" s="59" t="s">
        <v>20</v>
      </c>
      <c r="C112" s="75">
        <v>39.07</v>
      </c>
      <c r="D112" s="34">
        <v>600</v>
      </c>
      <c r="E112" s="67">
        <v>250</v>
      </c>
      <c r="F112" s="60">
        <f t="shared" si="46"/>
        <v>23442</v>
      </c>
      <c r="G112" s="20">
        <f t="shared" si="41"/>
        <v>9767.5</v>
      </c>
      <c r="H112" s="21">
        <f t="shared" si="47"/>
        <v>13674.5</v>
      </c>
      <c r="I112" s="22">
        <f t="shared" ref="I112:I115" si="48">H112/F112</f>
        <v>0.5833333333333334</v>
      </c>
    </row>
    <row r="113" spans="1:9" x14ac:dyDescent="0.25">
      <c r="A113" s="31" t="s">
        <v>104</v>
      </c>
      <c r="B113" s="59" t="s">
        <v>20</v>
      </c>
      <c r="C113" s="75">
        <v>39.07</v>
      </c>
      <c r="D113" s="34">
        <v>750</v>
      </c>
      <c r="E113" s="67">
        <v>500</v>
      </c>
      <c r="F113" s="60">
        <f t="shared" si="46"/>
        <v>29302.5</v>
      </c>
      <c r="G113" s="20">
        <f t="shared" si="41"/>
        <v>19535</v>
      </c>
      <c r="H113" s="21">
        <f t="shared" si="47"/>
        <v>9767.5</v>
      </c>
      <c r="I113" s="22">
        <f>H113/F113</f>
        <v>0.3333333333333333</v>
      </c>
    </row>
    <row r="114" spans="1:9" x14ac:dyDescent="0.25">
      <c r="A114" s="36" t="s">
        <v>105</v>
      </c>
      <c r="B114" s="37" t="s">
        <v>20</v>
      </c>
      <c r="C114" s="75">
        <v>39.07</v>
      </c>
      <c r="D114" s="39">
        <v>200</v>
      </c>
      <c r="E114" s="131">
        <v>100</v>
      </c>
      <c r="F114" s="35">
        <f t="shared" si="46"/>
        <v>7814</v>
      </c>
      <c r="G114" s="41">
        <f t="shared" si="41"/>
        <v>3907</v>
      </c>
      <c r="H114" s="21">
        <f t="shared" si="47"/>
        <v>3907</v>
      </c>
      <c r="I114" s="44">
        <f t="shared" si="48"/>
        <v>0.5</v>
      </c>
    </row>
    <row r="115" spans="1:9" x14ac:dyDescent="0.25">
      <c r="A115" s="45" t="s">
        <v>106</v>
      </c>
      <c r="B115" s="46" t="s">
        <v>20</v>
      </c>
      <c r="C115" s="75">
        <v>39.07</v>
      </c>
      <c r="D115" s="20">
        <v>600</v>
      </c>
      <c r="E115" s="67">
        <v>300</v>
      </c>
      <c r="F115" s="20">
        <f t="shared" si="46"/>
        <v>23442</v>
      </c>
      <c r="G115" s="20">
        <f t="shared" si="41"/>
        <v>11721</v>
      </c>
      <c r="H115" s="21">
        <f t="shared" si="47"/>
        <v>11721</v>
      </c>
      <c r="I115" s="22">
        <f t="shared" si="48"/>
        <v>0.5</v>
      </c>
    </row>
    <row r="116" spans="1:9" x14ac:dyDescent="0.25">
      <c r="A116" s="93" t="s">
        <v>26</v>
      </c>
      <c r="B116" s="94"/>
      <c r="C116" s="94"/>
      <c r="D116" s="94"/>
      <c r="E116" s="95"/>
      <c r="F116" s="132">
        <f>SUM(F110:F115)</f>
        <v>122679.8</v>
      </c>
      <c r="G116" s="132">
        <f t="shared" ref="G116:H116" si="49">SUM(G110:G115)</f>
        <v>66419</v>
      </c>
      <c r="H116" s="132">
        <f t="shared" si="49"/>
        <v>56260.8</v>
      </c>
      <c r="I116" s="63">
        <f>AVERAGE(I110:I115)</f>
        <v>0.48333333333333334</v>
      </c>
    </row>
    <row r="117" spans="1:9" x14ac:dyDescent="0.25">
      <c r="A117" s="97" t="s">
        <v>107</v>
      </c>
      <c r="B117" s="98"/>
      <c r="C117" s="98"/>
      <c r="D117" s="98"/>
      <c r="E117" s="98"/>
      <c r="F117" s="99"/>
      <c r="G117" s="83"/>
      <c r="H117" s="84"/>
      <c r="I117" s="85"/>
    </row>
    <row r="118" spans="1:9" x14ac:dyDescent="0.25">
      <c r="A118" s="23" t="s">
        <v>108</v>
      </c>
      <c r="B118" s="24" t="s">
        <v>16</v>
      </c>
      <c r="C118" s="110">
        <v>120.2</v>
      </c>
      <c r="D118" s="26">
        <v>200</v>
      </c>
      <c r="E118" s="111">
        <v>50</v>
      </c>
      <c r="F118" s="28">
        <f>C118*D118</f>
        <v>24040</v>
      </c>
      <c r="G118" s="27">
        <f t="shared" ref="G118:G122" si="50">C118*E118</f>
        <v>6010</v>
      </c>
      <c r="H118" s="29">
        <f>F118-G118</f>
        <v>18030</v>
      </c>
      <c r="I118" s="30">
        <f>H118/F118</f>
        <v>0.75</v>
      </c>
    </row>
    <row r="119" spans="1:9" x14ac:dyDescent="0.25">
      <c r="A119" s="31" t="s">
        <v>109</v>
      </c>
      <c r="B119" s="59" t="s">
        <v>16</v>
      </c>
      <c r="C119" s="75">
        <v>20.2</v>
      </c>
      <c r="D119" s="34">
        <v>2800</v>
      </c>
      <c r="E119" s="74">
        <v>1800</v>
      </c>
      <c r="F119" s="60">
        <f t="shared" ref="F119:F122" si="51">C119*D119</f>
        <v>56560</v>
      </c>
      <c r="G119" s="20">
        <f t="shared" si="50"/>
        <v>36360</v>
      </c>
      <c r="H119" s="29">
        <f t="shared" ref="H119:H122" si="52">F119-G119</f>
        <v>20200</v>
      </c>
      <c r="I119" s="30">
        <f>H119/F119</f>
        <v>0.35714285714285715</v>
      </c>
    </row>
    <row r="120" spans="1:9" x14ac:dyDescent="0.25">
      <c r="A120" s="31" t="s">
        <v>110</v>
      </c>
      <c r="B120" s="59" t="s">
        <v>78</v>
      </c>
      <c r="C120" s="75">
        <v>20.2</v>
      </c>
      <c r="D120" s="34">
        <v>300</v>
      </c>
      <c r="E120" s="74">
        <v>200</v>
      </c>
      <c r="F120" s="60">
        <f t="shared" si="51"/>
        <v>6060</v>
      </c>
      <c r="G120" s="20">
        <f t="shared" si="50"/>
        <v>4040</v>
      </c>
      <c r="H120" s="29">
        <f t="shared" si="52"/>
        <v>2020</v>
      </c>
      <c r="I120" s="30">
        <f>H120/F120</f>
        <v>0.3333333333333333</v>
      </c>
    </row>
    <row r="121" spans="1:9" x14ac:dyDescent="0.25">
      <c r="A121" s="31" t="s">
        <v>111</v>
      </c>
      <c r="B121" s="32" t="s">
        <v>20</v>
      </c>
      <c r="C121" s="75">
        <v>42.24</v>
      </c>
      <c r="D121" s="34">
        <v>560</v>
      </c>
      <c r="E121" s="74">
        <v>0</v>
      </c>
      <c r="F121" s="60">
        <f t="shared" si="51"/>
        <v>23654.4</v>
      </c>
      <c r="G121" s="20">
        <f t="shared" si="50"/>
        <v>0</v>
      </c>
      <c r="H121" s="29">
        <f t="shared" si="52"/>
        <v>23654.4</v>
      </c>
      <c r="I121" s="30">
        <f t="shared" ref="I121:I122" si="53">H121/F121</f>
        <v>1</v>
      </c>
    </row>
    <row r="122" ht="12" customHeight="1" spans="1:9" x14ac:dyDescent="0.25">
      <c r="A122" s="36" t="s">
        <v>112</v>
      </c>
      <c r="B122" s="37" t="s">
        <v>16</v>
      </c>
      <c r="C122" s="133">
        <v>120.2</v>
      </c>
      <c r="D122" s="39">
        <v>100</v>
      </c>
      <c r="E122" s="102">
        <v>50</v>
      </c>
      <c r="F122" s="35">
        <f t="shared" si="51"/>
        <v>12020</v>
      </c>
      <c r="G122" s="41">
        <f t="shared" si="50"/>
        <v>6010</v>
      </c>
      <c r="H122" s="113">
        <f t="shared" si="52"/>
        <v>6010</v>
      </c>
      <c r="I122" s="114">
        <f t="shared" si="53"/>
        <v>0.5</v>
      </c>
    </row>
    <row r="123" spans="1:9" x14ac:dyDescent="0.25">
      <c r="A123" s="31" t="s">
        <v>113</v>
      </c>
      <c r="B123" s="59" t="s">
        <v>16</v>
      </c>
      <c r="C123" s="75">
        <v>100</v>
      </c>
      <c r="D123" s="34">
        <v>150</v>
      </c>
      <c r="E123" s="74">
        <v>100</v>
      </c>
      <c r="F123" s="60">
        <f t="shared" ref="F123:F124" si="54">C123*D123</f>
        <v>15000</v>
      </c>
      <c r="G123" s="20">
        <f t="shared" ref="G123:G125" si="55">C123*E123</f>
        <v>10000</v>
      </c>
      <c r="H123" s="29">
        <f t="shared" ref="H123:H125" si="56">F123-G123</f>
        <v>5000</v>
      </c>
      <c r="I123" s="30">
        <f t="shared" ref="I123:I125" si="57">H123/F123</f>
        <v>0.3333333333333333</v>
      </c>
    </row>
    <row r="124" spans="1:9" x14ac:dyDescent="0.25">
      <c r="A124" s="31" t="s">
        <v>114</v>
      </c>
      <c r="B124" s="59" t="s">
        <v>16</v>
      </c>
      <c r="C124" s="75">
        <v>100</v>
      </c>
      <c r="D124" s="34">
        <v>630</v>
      </c>
      <c r="E124" s="74">
        <v>350</v>
      </c>
      <c r="F124" s="60">
        <f t="shared" si="54"/>
        <v>63000</v>
      </c>
      <c r="G124" s="20">
        <f t="shared" si="55"/>
        <v>35000</v>
      </c>
      <c r="H124" s="29">
        <f t="shared" si="56"/>
        <v>28000</v>
      </c>
      <c r="I124" s="30">
        <f t="shared" si="57"/>
        <v>0.4444444444444444</v>
      </c>
    </row>
    <row r="125" spans="1:9" x14ac:dyDescent="0.25">
      <c r="A125" s="36" t="s">
        <v>115</v>
      </c>
      <c r="B125" s="37" t="s">
        <v>20</v>
      </c>
      <c r="C125" s="133">
        <v>90</v>
      </c>
      <c r="D125" s="39">
        <v>500</v>
      </c>
      <c r="E125" s="102">
        <v>300</v>
      </c>
      <c r="F125" s="35">
        <f>C125*D125</f>
        <v>45000</v>
      </c>
      <c r="G125" s="41">
        <f t="shared" si="55"/>
        <v>27000</v>
      </c>
      <c r="H125" s="113">
        <f t="shared" si="56"/>
        <v>18000</v>
      </c>
      <c r="I125" s="114">
        <f t="shared" si="57"/>
        <v>0.4</v>
      </c>
    </row>
    <row r="126" spans="1:9" x14ac:dyDescent="0.25">
      <c r="A126" s="134" t="s">
        <v>26</v>
      </c>
      <c r="B126" s="135"/>
      <c r="C126" s="135"/>
      <c r="D126" s="135"/>
      <c r="E126" s="136"/>
      <c r="F126" s="96">
        <f>SUM(F118:F125)</f>
        <v>245334.4</v>
      </c>
      <c r="G126" s="96">
        <f t="shared" ref="G126:H126" si="58">SUM(G118:G125)</f>
        <v>124420</v>
      </c>
      <c r="H126" s="96">
        <f t="shared" si="58"/>
        <v>120914.4</v>
      </c>
      <c r="I126" s="63">
        <f>AVERAGE(I118:I125)</f>
        <v>0.5147817460317461</v>
      </c>
    </row>
    <row r="127" ht="23.4" customHeight="1" spans="1:9" x14ac:dyDescent="0.25">
      <c r="A127" s="6" t="s">
        <v>116</v>
      </c>
      <c r="B127" s="64"/>
      <c r="C127" s="64"/>
      <c r="D127" s="64"/>
      <c r="E127" s="64"/>
      <c r="F127" s="64"/>
      <c r="G127" s="83"/>
      <c r="H127" s="84"/>
      <c r="I127" s="85"/>
    </row>
    <row r="128" ht="13.5" customHeight="1" spans="1:9" x14ac:dyDescent="0.25">
      <c r="A128" s="31" t="s">
        <v>117</v>
      </c>
      <c r="B128" s="59" t="s">
        <v>16</v>
      </c>
      <c r="C128" s="137">
        <v>121.89</v>
      </c>
      <c r="D128" s="34">
        <v>390</v>
      </c>
      <c r="E128" s="67">
        <v>250</v>
      </c>
      <c r="F128" s="60">
        <f>C128*D128</f>
        <v>47537.1</v>
      </c>
      <c r="G128" s="20">
        <f>C128*E128</f>
        <v>30472.5</v>
      </c>
      <c r="H128" s="21">
        <f>F128-G128</f>
        <v>17064.6</v>
      </c>
      <c r="I128" s="22">
        <f>H128/F128</f>
        <v>0.358974358974359</v>
      </c>
    </row>
    <row r="129" spans="1:9" x14ac:dyDescent="0.25">
      <c r="A129" s="31" t="s">
        <v>118</v>
      </c>
      <c r="B129" s="59" t="s">
        <v>20</v>
      </c>
      <c r="C129" s="137">
        <v>68.29</v>
      </c>
      <c r="D129" s="34">
        <v>1750</v>
      </c>
      <c r="E129" s="67">
        <v>1650</v>
      </c>
      <c r="F129" s="60">
        <f t="shared" ref="F129:F145" si="59">C129*D129</f>
        <v>119507.50000000001</v>
      </c>
      <c r="G129" s="20">
        <f t="shared" ref="G129:G145" si="60">C129*E129</f>
        <v>112678.50000000001</v>
      </c>
      <c r="H129" s="21">
        <f t="shared" ref="H129:H145" si="61">F129-G129</f>
        <v>6829</v>
      </c>
      <c r="I129" s="22">
        <f t="shared" ref="I129:I145" si="62">H129/F129</f>
        <v>0.057142857142857134</v>
      </c>
    </row>
    <row r="130" spans="1:9" x14ac:dyDescent="0.25">
      <c r="A130" s="31" t="s">
        <v>119</v>
      </c>
      <c r="B130" s="59" t="s">
        <v>14</v>
      </c>
      <c r="C130" s="137">
        <v>27</v>
      </c>
      <c r="D130" s="34">
        <v>750</v>
      </c>
      <c r="E130" s="67">
        <v>750</v>
      </c>
      <c r="F130" s="60">
        <f>C130*D130</f>
        <v>20250</v>
      </c>
      <c r="G130" s="20">
        <f t="shared" si="60"/>
        <v>20250</v>
      </c>
      <c r="H130" s="21">
        <f t="shared" si="61"/>
        <v>0</v>
      </c>
      <c r="I130" s="22">
        <f t="shared" si="62"/>
        <v>0</v>
      </c>
    </row>
    <row r="131" spans="1:9" x14ac:dyDescent="0.25">
      <c r="A131" s="31" t="s">
        <v>120</v>
      </c>
      <c r="B131" s="59" t="s">
        <v>20</v>
      </c>
      <c r="C131" s="137">
        <v>53.61</v>
      </c>
      <c r="D131" s="34">
        <v>450</v>
      </c>
      <c r="E131" s="67">
        <v>400</v>
      </c>
      <c r="F131" s="138">
        <f>C131*D131</f>
        <v>24124.5</v>
      </c>
      <c r="G131" s="20">
        <f t="shared" si="60"/>
        <v>21444</v>
      </c>
      <c r="H131" s="21">
        <f t="shared" si="61"/>
        <v>2680.5</v>
      </c>
      <c r="I131" s="22">
        <f t="shared" si="62"/>
        <v>0.1111111111111111</v>
      </c>
    </row>
    <row r="132" spans="1:9" x14ac:dyDescent="0.25">
      <c r="A132" s="31" t="s">
        <v>121</v>
      </c>
      <c r="B132" s="59" t="s">
        <v>20</v>
      </c>
      <c r="C132" s="137">
        <v>53.61</v>
      </c>
      <c r="D132" s="34">
        <v>120</v>
      </c>
      <c r="E132" s="67">
        <v>110</v>
      </c>
      <c r="F132" s="60">
        <f t="shared" si="59"/>
        <v>6433.2</v>
      </c>
      <c r="G132" s="20">
        <f t="shared" si="60"/>
        <v>5897.1</v>
      </c>
      <c r="H132" s="21">
        <f t="shared" si="61"/>
        <v>536.0999999999995</v>
      </c>
      <c r="I132" s="22">
        <f t="shared" si="62"/>
        <v>0.08333333333333325</v>
      </c>
    </row>
    <row r="133" spans="1:9" x14ac:dyDescent="0.25">
      <c r="A133" s="31" t="s">
        <v>122</v>
      </c>
      <c r="B133" s="59" t="s">
        <v>14</v>
      </c>
      <c r="C133" s="137">
        <v>2</v>
      </c>
      <c r="D133" s="34">
        <v>800</v>
      </c>
      <c r="E133" s="67">
        <v>750</v>
      </c>
      <c r="F133" s="60">
        <f t="shared" si="59"/>
        <v>1600</v>
      </c>
      <c r="G133" s="20">
        <f t="shared" si="60"/>
        <v>1500</v>
      </c>
      <c r="H133" s="21">
        <f t="shared" si="61"/>
        <v>100</v>
      </c>
      <c r="I133" s="22">
        <f t="shared" si="62"/>
        <v>0.0625</v>
      </c>
    </row>
    <row r="134" spans="1:9" x14ac:dyDescent="0.25">
      <c r="A134" s="31" t="s">
        <v>123</v>
      </c>
      <c r="B134" s="59" t="s">
        <v>20</v>
      </c>
      <c r="C134" s="137">
        <v>22.6</v>
      </c>
      <c r="D134" s="34">
        <v>3500</v>
      </c>
      <c r="E134" s="67">
        <v>2200</v>
      </c>
      <c r="F134" s="60">
        <f t="shared" si="59"/>
        <v>79100</v>
      </c>
      <c r="G134" s="20">
        <f t="shared" si="60"/>
        <v>49720</v>
      </c>
      <c r="H134" s="21">
        <f t="shared" si="61"/>
        <v>29380</v>
      </c>
      <c r="I134" s="22">
        <f t="shared" si="62"/>
        <v>0.37142857142857144</v>
      </c>
    </row>
    <row r="135" spans="1:9" x14ac:dyDescent="0.25">
      <c r="A135" s="31" t="s">
        <v>124</v>
      </c>
      <c r="B135" s="59" t="s">
        <v>20</v>
      </c>
      <c r="C135" s="137">
        <v>7.5</v>
      </c>
      <c r="D135" s="34">
        <v>150</v>
      </c>
      <c r="E135" s="67">
        <v>50</v>
      </c>
      <c r="F135" s="60">
        <f t="shared" si="59"/>
        <v>1125</v>
      </c>
      <c r="G135" s="20">
        <f t="shared" si="60"/>
        <v>375</v>
      </c>
      <c r="H135" s="21">
        <f t="shared" si="61"/>
        <v>750</v>
      </c>
      <c r="I135" s="22">
        <f t="shared" si="62"/>
        <v>0.6666666666666666</v>
      </c>
    </row>
    <row r="136" spans="1:9" x14ac:dyDescent="0.25">
      <c r="A136" s="31" t="s">
        <v>125</v>
      </c>
      <c r="B136" s="59" t="s">
        <v>14</v>
      </c>
      <c r="C136" s="137">
        <v>1</v>
      </c>
      <c r="D136" s="34">
        <v>400</v>
      </c>
      <c r="E136" s="67">
        <v>200</v>
      </c>
      <c r="F136" s="60">
        <f t="shared" si="59"/>
        <v>400</v>
      </c>
      <c r="G136" s="20">
        <f t="shared" si="60"/>
        <v>200</v>
      </c>
      <c r="H136" s="21">
        <f t="shared" si="61"/>
        <v>200</v>
      </c>
      <c r="I136" s="22">
        <f t="shared" si="62"/>
        <v>0.5</v>
      </c>
    </row>
    <row r="137" spans="1:9" x14ac:dyDescent="0.25">
      <c r="A137" s="31" t="s">
        <v>126</v>
      </c>
      <c r="B137" s="59" t="s">
        <v>20</v>
      </c>
      <c r="C137" s="137">
        <v>15</v>
      </c>
      <c r="D137" s="34">
        <v>2800</v>
      </c>
      <c r="E137" s="67">
        <v>2700</v>
      </c>
      <c r="F137" s="60">
        <f t="shared" si="59"/>
        <v>42000</v>
      </c>
      <c r="G137" s="20">
        <f t="shared" si="60"/>
        <v>40500</v>
      </c>
      <c r="H137" s="21">
        <f t="shared" si="61"/>
        <v>1500</v>
      </c>
      <c r="I137" s="22">
        <f t="shared" si="62"/>
        <v>0.03571428571428571</v>
      </c>
    </row>
    <row r="138" spans="1:9" x14ac:dyDescent="0.25">
      <c r="A138" s="31" t="s">
        <v>127</v>
      </c>
      <c r="B138" s="59" t="s">
        <v>20</v>
      </c>
      <c r="C138" s="137">
        <v>15</v>
      </c>
      <c r="D138" s="34">
        <v>150</v>
      </c>
      <c r="E138" s="67">
        <v>0</v>
      </c>
      <c r="F138" s="60">
        <f t="shared" si="59"/>
        <v>2250</v>
      </c>
      <c r="G138" s="20">
        <f t="shared" si="60"/>
        <v>0</v>
      </c>
      <c r="H138" s="21">
        <f t="shared" si="61"/>
        <v>2250</v>
      </c>
      <c r="I138" s="22">
        <f t="shared" si="62"/>
        <v>1</v>
      </c>
    </row>
    <row r="139" spans="1:9" x14ac:dyDescent="0.25">
      <c r="A139" s="31" t="s">
        <v>128</v>
      </c>
      <c r="B139" s="59" t="s">
        <v>14</v>
      </c>
      <c r="C139" s="137">
        <v>20</v>
      </c>
      <c r="D139" s="34">
        <v>650</v>
      </c>
      <c r="E139" s="67">
        <v>600</v>
      </c>
      <c r="F139" s="60">
        <f t="shared" si="59"/>
        <v>13000</v>
      </c>
      <c r="G139" s="20">
        <f t="shared" si="60"/>
        <v>12000</v>
      </c>
      <c r="H139" s="21">
        <f t="shared" si="61"/>
        <v>1000</v>
      </c>
      <c r="I139" s="22">
        <f t="shared" si="62"/>
        <v>0.07692307692307693</v>
      </c>
    </row>
    <row r="140" spans="1:9" x14ac:dyDescent="0.25">
      <c r="A140" s="31" t="s">
        <v>129</v>
      </c>
      <c r="B140" s="59" t="s">
        <v>130</v>
      </c>
      <c r="C140" s="137">
        <v>20</v>
      </c>
      <c r="D140" s="34">
        <v>150</v>
      </c>
      <c r="E140" s="67">
        <v>0</v>
      </c>
      <c r="F140" s="60">
        <f t="shared" si="59"/>
        <v>3000</v>
      </c>
      <c r="G140" s="20">
        <f t="shared" si="60"/>
        <v>0</v>
      </c>
      <c r="H140" s="21">
        <f t="shared" si="61"/>
        <v>3000</v>
      </c>
      <c r="I140" s="22">
        <f t="shared" si="62"/>
        <v>1</v>
      </c>
    </row>
    <row r="141" spans="1:9" x14ac:dyDescent="0.25">
      <c r="A141" s="31" t="s">
        <v>131</v>
      </c>
      <c r="B141" s="59" t="s">
        <v>78</v>
      </c>
      <c r="C141" s="137">
        <v>21</v>
      </c>
      <c r="D141" s="34">
        <v>4000</v>
      </c>
      <c r="E141" s="67">
        <v>3500</v>
      </c>
      <c r="F141" s="60">
        <f t="shared" si="59"/>
        <v>84000</v>
      </c>
      <c r="G141" s="20">
        <f t="shared" si="60"/>
        <v>73500</v>
      </c>
      <c r="H141" s="21">
        <f t="shared" si="61"/>
        <v>10500</v>
      </c>
      <c r="I141" s="22">
        <f t="shared" si="62"/>
        <v>0.125</v>
      </c>
    </row>
    <row r="142" spans="1:9" x14ac:dyDescent="0.25">
      <c r="A142" s="31" t="s">
        <v>132</v>
      </c>
      <c r="B142" s="59" t="s">
        <v>14</v>
      </c>
      <c r="C142" s="137">
        <v>11</v>
      </c>
      <c r="D142" s="34">
        <v>1500</v>
      </c>
      <c r="E142" s="67">
        <v>1500</v>
      </c>
      <c r="F142" s="60">
        <f t="shared" si="59"/>
        <v>16500</v>
      </c>
      <c r="G142" s="20">
        <f t="shared" si="60"/>
        <v>16500</v>
      </c>
      <c r="H142" s="21">
        <f t="shared" si="61"/>
        <v>0</v>
      </c>
      <c r="I142" s="22">
        <f t="shared" si="62"/>
        <v>0</v>
      </c>
    </row>
    <row r="143" spans="1:9" x14ac:dyDescent="0.25">
      <c r="A143" s="31" t="s">
        <v>133</v>
      </c>
      <c r="B143" s="59" t="s">
        <v>14</v>
      </c>
      <c r="C143" s="137">
        <v>10</v>
      </c>
      <c r="D143" s="34">
        <v>650</v>
      </c>
      <c r="E143" s="67">
        <v>600</v>
      </c>
      <c r="F143" s="60">
        <f t="shared" si="59"/>
        <v>6500</v>
      </c>
      <c r="G143" s="20">
        <f t="shared" si="60"/>
        <v>6000</v>
      </c>
      <c r="H143" s="21">
        <f t="shared" si="61"/>
        <v>500</v>
      </c>
      <c r="I143" s="22">
        <f t="shared" si="62"/>
        <v>0.07692307692307693</v>
      </c>
    </row>
    <row r="144" spans="1:9" x14ac:dyDescent="0.25">
      <c r="A144" s="36" t="s">
        <v>134</v>
      </c>
      <c r="B144" s="37" t="s">
        <v>78</v>
      </c>
      <c r="C144" s="139">
        <v>27</v>
      </c>
      <c r="D144" s="39">
        <v>950</v>
      </c>
      <c r="E144" s="131">
        <v>900</v>
      </c>
      <c r="F144" s="35">
        <f t="shared" si="59"/>
        <v>25650</v>
      </c>
      <c r="G144" s="41">
        <f t="shared" si="60"/>
        <v>24300</v>
      </c>
      <c r="H144" s="43">
        <f t="shared" si="61"/>
        <v>1350</v>
      </c>
      <c r="I144" s="44">
        <f t="shared" si="62"/>
        <v>0.05263157894736842</v>
      </c>
    </row>
    <row r="145" spans="1:9" x14ac:dyDescent="0.25">
      <c r="A145" s="45" t="s">
        <v>135</v>
      </c>
      <c r="B145" s="46" t="s">
        <v>20</v>
      </c>
      <c r="C145" s="140">
        <v>1</v>
      </c>
      <c r="D145" s="20">
        <v>1800</v>
      </c>
      <c r="E145" s="67">
        <v>1800</v>
      </c>
      <c r="F145" s="20">
        <f t="shared" si="59"/>
        <v>1800</v>
      </c>
      <c r="G145" s="20">
        <f t="shared" si="60"/>
        <v>1800</v>
      </c>
      <c r="H145" s="21">
        <f t="shared" si="61"/>
        <v>0</v>
      </c>
      <c r="I145" s="22">
        <f t="shared" si="62"/>
        <v>0</v>
      </c>
    </row>
    <row r="146" spans="1:9" x14ac:dyDescent="0.25">
      <c r="A146" s="48" t="s">
        <v>26</v>
      </c>
      <c r="B146" s="49"/>
      <c r="C146" s="49"/>
      <c r="D146" s="49"/>
      <c r="E146" s="141"/>
      <c r="F146" s="142">
        <f>SUM(F128:F145)</f>
        <v>494777.30000000005</v>
      </c>
      <c r="G146" s="142">
        <f t="shared" ref="G146:H146" si="63">SUM(G128:G145)</f>
        <v>417137.1</v>
      </c>
      <c r="H146" s="142">
        <f t="shared" si="63"/>
        <v>77640.2</v>
      </c>
      <c r="I146" s="143">
        <f>AVERAGE(I128:I145)</f>
        <v>0.25435271762026146</v>
      </c>
    </row>
    <row r="147" spans="1:9" x14ac:dyDescent="0.25">
      <c r="A147" s="144" t="s">
        <v>136</v>
      </c>
      <c r="B147" s="52"/>
      <c r="C147" s="52"/>
      <c r="D147" s="52"/>
      <c r="E147" s="52"/>
      <c r="F147" s="54"/>
      <c r="G147" s="83"/>
      <c r="H147" s="84"/>
      <c r="I147" s="85"/>
    </row>
    <row r="148" spans="1:9" x14ac:dyDescent="0.25">
      <c r="A148" s="45" t="s">
        <v>137</v>
      </c>
      <c r="B148" s="46" t="s">
        <v>14</v>
      </c>
      <c r="C148" s="47">
        <v>124</v>
      </c>
      <c r="D148" s="20">
        <v>500</v>
      </c>
      <c r="E148" s="145">
        <v>250</v>
      </c>
      <c r="F148" s="20">
        <f t="shared" ref="F148" si="64">C148*D148</f>
        <v>62000</v>
      </c>
      <c r="G148" s="20">
        <f t="shared" ref="G148" si="65">C148*E148</f>
        <v>31000</v>
      </c>
      <c r="H148" s="21">
        <f t="shared" ref="H148" si="66">F148-G148</f>
        <v>31000</v>
      </c>
      <c r="I148" s="22">
        <f t="shared" ref="I148" si="67">H148/F148</f>
        <v>0.5</v>
      </c>
    </row>
    <row r="149" ht="13.5" customHeight="1" spans="1:9" x14ac:dyDescent="0.25">
      <c r="A149" s="70" t="s">
        <v>26</v>
      </c>
      <c r="B149" s="71"/>
      <c r="C149" s="71"/>
      <c r="D149" s="71"/>
      <c r="E149" s="71"/>
      <c r="F149" s="146">
        <f>SUM(F148:F148)</f>
        <v>62000</v>
      </c>
      <c r="G149" s="146">
        <f>SUM(G148:G148)</f>
        <v>31000</v>
      </c>
      <c r="H149" s="146">
        <f>SUM(H148:H148)</f>
        <v>31000</v>
      </c>
      <c r="I149" s="63">
        <f>AVERAGE(I148:I148)</f>
        <v>0.5</v>
      </c>
    </row>
    <row r="150" ht="23.4" customHeight="1" spans="1:12" x14ac:dyDescent="0.25">
      <c r="A150" s="13" t="s">
        <v>138</v>
      </c>
      <c r="B150" s="14"/>
      <c r="C150" s="14"/>
      <c r="D150" s="14"/>
      <c r="E150" s="14"/>
      <c r="F150" s="52"/>
      <c r="G150" s="53"/>
      <c r="H150" s="52"/>
      <c r="I150" s="54"/>
      <c r="J150" s="115"/>
      <c r="K150" s="116"/>
      <c r="L150" s="116"/>
    </row>
    <row r="151" ht="13.5" customHeight="1" spans="1:9" x14ac:dyDescent="0.25">
      <c r="A151" s="147" t="s">
        <v>139</v>
      </c>
      <c r="B151" s="148" t="s">
        <v>14</v>
      </c>
      <c r="C151" s="149">
        <v>2</v>
      </c>
      <c r="D151" s="150">
        <v>4500</v>
      </c>
      <c r="E151" s="151">
        <v>800</v>
      </c>
      <c r="F151" s="60">
        <f t="shared" ref="F151:F155" si="68">C151*D151</f>
        <v>9000</v>
      </c>
      <c r="G151" s="20">
        <f t="shared" ref="G151:G159" si="69">C151*E151</f>
        <v>1600</v>
      </c>
      <c r="H151" s="21">
        <f t="shared" ref="H151:H159" si="70">F151-G151</f>
        <v>7400</v>
      </c>
      <c r="I151" s="22">
        <f t="shared" ref="I151:I163" si="71">H151/F151</f>
        <v>0.8222222222222222</v>
      </c>
    </row>
    <row r="152" ht="13.5" customHeight="1" spans="1:9" x14ac:dyDescent="0.25">
      <c r="A152" s="31" t="s">
        <v>140</v>
      </c>
      <c r="B152" s="59" t="s">
        <v>14</v>
      </c>
      <c r="C152" s="33"/>
      <c r="D152" s="34">
        <v>1400</v>
      </c>
      <c r="E152" s="20">
        <v>1000</v>
      </c>
      <c r="F152" s="60">
        <f t="shared" si="68"/>
        <v>0</v>
      </c>
      <c r="G152" s="20">
        <f t="shared" si="69"/>
        <v>0</v>
      </c>
      <c r="H152" s="21">
        <f t="shared" si="70"/>
        <v>0</v>
      </c>
      <c r="I152" s="22" t="e">
        <f t="shared" si="71"/>
        <v>#DIV/0!</v>
      </c>
    </row>
    <row r="153" ht="13.5" customHeight="1" spans="1:9" x14ac:dyDescent="0.25">
      <c r="A153" s="31" t="s">
        <v>141</v>
      </c>
      <c r="B153" s="59" t="s">
        <v>14</v>
      </c>
      <c r="C153" s="33"/>
      <c r="D153" s="34">
        <v>1600</v>
      </c>
      <c r="E153" s="20">
        <v>800</v>
      </c>
      <c r="F153" s="60">
        <f t="shared" si="68"/>
        <v>0</v>
      </c>
      <c r="G153" s="20">
        <f t="shared" si="69"/>
        <v>0</v>
      </c>
      <c r="H153" s="21">
        <f t="shared" si="70"/>
        <v>0</v>
      </c>
      <c r="I153" s="22" t="e">
        <f t="shared" si="71"/>
        <v>#DIV/0!</v>
      </c>
    </row>
    <row r="154" spans="1:9" x14ac:dyDescent="0.25">
      <c r="A154" s="31" t="s">
        <v>142</v>
      </c>
      <c r="B154" s="59" t="s">
        <v>14</v>
      </c>
      <c r="C154" s="33"/>
      <c r="D154" s="34">
        <v>3000</v>
      </c>
      <c r="E154" s="20">
        <v>2500</v>
      </c>
      <c r="F154" s="60">
        <f t="shared" si="68"/>
        <v>0</v>
      </c>
      <c r="G154" s="20">
        <f t="shared" si="69"/>
        <v>0</v>
      </c>
      <c r="H154" s="21">
        <f t="shared" si="70"/>
        <v>0</v>
      </c>
      <c r="I154" s="22" t="e">
        <f t="shared" si="71"/>
        <v>#DIV/0!</v>
      </c>
    </row>
    <row r="155" ht="13.5" customHeight="1" spans="1:9" x14ac:dyDescent="0.25">
      <c r="A155" s="31" t="s">
        <v>143</v>
      </c>
      <c r="B155" s="59" t="s">
        <v>14</v>
      </c>
      <c r="C155" s="33"/>
      <c r="D155" s="34">
        <v>2000</v>
      </c>
      <c r="E155" s="20">
        <v>2000</v>
      </c>
      <c r="F155" s="60">
        <f t="shared" si="68"/>
        <v>0</v>
      </c>
      <c r="G155" s="20">
        <f t="shared" si="69"/>
        <v>0</v>
      </c>
      <c r="H155" s="21">
        <f t="shared" si="70"/>
        <v>0</v>
      </c>
      <c r="I155" s="22" t="e">
        <f t="shared" si="71"/>
        <v>#DIV/0!</v>
      </c>
    </row>
    <row r="156" ht="13.5" customHeight="1" spans="1:9" x14ac:dyDescent="0.25">
      <c r="A156" s="31" t="s">
        <v>144</v>
      </c>
      <c r="B156" s="59" t="s">
        <v>14</v>
      </c>
      <c r="C156" s="33"/>
      <c r="D156" s="34">
        <v>1020</v>
      </c>
      <c r="E156" s="20">
        <v>800</v>
      </c>
      <c r="F156" s="60">
        <f>C156*D156</f>
        <v>0</v>
      </c>
      <c r="G156" s="20">
        <f t="shared" si="69"/>
        <v>0</v>
      </c>
      <c r="H156" s="21">
        <f t="shared" si="70"/>
        <v>0</v>
      </c>
      <c r="I156" s="22" t="e">
        <f t="shared" si="71"/>
        <v>#DIV/0!</v>
      </c>
    </row>
    <row r="157" ht="13.5" customHeight="1" spans="1:9" x14ac:dyDescent="0.25">
      <c r="A157" s="152" t="s">
        <v>145</v>
      </c>
      <c r="B157" s="59" t="s">
        <v>14</v>
      </c>
      <c r="C157" s="33">
        <v>1</v>
      </c>
      <c r="D157" s="34">
        <v>6000</v>
      </c>
      <c r="E157" s="20">
        <v>4000</v>
      </c>
      <c r="F157" s="60">
        <f>C157*D157</f>
        <v>6000</v>
      </c>
      <c r="G157" s="20">
        <f t="shared" si="69"/>
        <v>4000</v>
      </c>
      <c r="H157" s="21">
        <f t="shared" si="70"/>
        <v>2000</v>
      </c>
      <c r="I157" s="22">
        <f t="shared" si="71"/>
        <v>0.3333333333333333</v>
      </c>
    </row>
    <row r="158" spans="1:9" x14ac:dyDescent="0.25">
      <c r="A158" s="31" t="s">
        <v>146</v>
      </c>
      <c r="B158" s="59" t="s">
        <v>14</v>
      </c>
      <c r="C158" s="33">
        <v>3</v>
      </c>
      <c r="D158" s="34">
        <v>4500</v>
      </c>
      <c r="E158" s="20">
        <v>3000</v>
      </c>
      <c r="F158" s="60">
        <f t="shared" ref="F158:F159" si="72">C158*D158</f>
        <v>13500</v>
      </c>
      <c r="G158" s="20">
        <f t="shared" si="69"/>
        <v>9000</v>
      </c>
      <c r="H158" s="21">
        <f t="shared" si="70"/>
        <v>4500</v>
      </c>
      <c r="I158" s="22">
        <f t="shared" si="71"/>
        <v>0.3333333333333333</v>
      </c>
    </row>
    <row r="159" ht="13.5" customHeight="1" spans="1:9" x14ac:dyDescent="0.25">
      <c r="A159" s="31" t="s">
        <v>147</v>
      </c>
      <c r="B159" s="32" t="s">
        <v>14</v>
      </c>
      <c r="C159" s="33">
        <v>3</v>
      </c>
      <c r="D159" s="34">
        <v>2100</v>
      </c>
      <c r="E159" s="20">
        <v>1500</v>
      </c>
      <c r="F159" s="60">
        <f t="shared" si="72"/>
        <v>6300</v>
      </c>
      <c r="G159" s="20">
        <f t="shared" si="69"/>
        <v>4500</v>
      </c>
      <c r="H159" s="21">
        <f t="shared" si="70"/>
        <v>1800</v>
      </c>
      <c r="I159" s="22">
        <f t="shared" si="71"/>
        <v>0.2857142857142857</v>
      </c>
    </row>
    <row r="160" ht="13.5" customHeight="1" spans="1:9" x14ac:dyDescent="0.25">
      <c r="A160" s="23" t="s">
        <v>148</v>
      </c>
      <c r="B160" s="24" t="s">
        <v>14</v>
      </c>
      <c r="C160" s="110">
        <v>5</v>
      </c>
      <c r="D160" s="26">
        <v>8000</v>
      </c>
      <c r="E160" s="153">
        <v>6000</v>
      </c>
      <c r="F160" s="28">
        <f t="shared" ref="F160:F163" si="73">C160*D160</f>
        <v>40000</v>
      </c>
      <c r="G160" s="27">
        <f t="shared" ref="G160:G163" si="74">C160*E160</f>
        <v>30000</v>
      </c>
      <c r="H160" s="29">
        <f t="shared" ref="H160:H163" si="75">F160-G160</f>
        <v>10000</v>
      </c>
      <c r="I160" s="22">
        <f t="shared" si="71"/>
        <v>0.25</v>
      </c>
    </row>
    <row r="161" ht="13.5" customHeight="1" spans="1:9" x14ac:dyDescent="0.25">
      <c r="A161" s="154" t="s">
        <v>149</v>
      </c>
      <c r="B161" s="155" t="s">
        <v>14</v>
      </c>
      <c r="C161" s="156">
        <v>1</v>
      </c>
      <c r="D161" s="157">
        <v>11000</v>
      </c>
      <c r="E161" s="158"/>
      <c r="F161" s="159">
        <f t="shared" si="73"/>
        <v>11000</v>
      </c>
      <c r="G161" s="27"/>
      <c r="H161" s="29"/>
      <c r="I161" s="22">
        <f t="shared" si="71"/>
        <v>0</v>
      </c>
    </row>
    <row r="162" ht="13.5" customHeight="1" spans="1:9" x14ac:dyDescent="0.25">
      <c r="A162" s="154" t="s">
        <v>150</v>
      </c>
      <c r="B162" s="155" t="s">
        <v>14</v>
      </c>
      <c r="C162" s="156">
        <v>2</v>
      </c>
      <c r="D162" s="157">
        <v>11000</v>
      </c>
      <c r="E162" s="158"/>
      <c r="F162" s="159">
        <f t="shared" si="73"/>
        <v>22000</v>
      </c>
      <c r="G162" s="27"/>
      <c r="H162" s="29"/>
      <c r="I162" s="22">
        <f t="shared" si="71"/>
        <v>0</v>
      </c>
    </row>
    <row r="163" ht="13.5" customHeight="1" spans="1:9" x14ac:dyDescent="0.25">
      <c r="A163" s="36" t="s">
        <v>151</v>
      </c>
      <c r="B163" s="37" t="s">
        <v>14</v>
      </c>
      <c r="C163" s="133">
        <v>12</v>
      </c>
      <c r="D163" s="39">
        <v>3000</v>
      </c>
      <c r="E163" s="160">
        <v>500</v>
      </c>
      <c r="F163" s="60">
        <f t="shared" si="73"/>
        <v>36000</v>
      </c>
      <c r="G163" s="20">
        <f t="shared" si="74"/>
        <v>6000</v>
      </c>
      <c r="H163" s="21">
        <f t="shared" si="75"/>
        <v>30000</v>
      </c>
      <c r="I163" s="22">
        <f t="shared" si="71"/>
        <v>0.8333333333333334</v>
      </c>
    </row>
    <row r="164" ht="23.4" customHeight="1" spans="1:9" x14ac:dyDescent="0.25">
      <c r="A164" s="70" t="s">
        <v>26</v>
      </c>
      <c r="B164" s="71"/>
      <c r="C164" s="71"/>
      <c r="D164" s="71"/>
      <c r="E164" s="72"/>
      <c r="F164" s="62"/>
      <c r="G164" s="62"/>
      <c r="H164" s="62"/>
      <c r="I164" s="63" t="e">
        <f>AVERAGE(I151:I163)</f>
        <v>#DIV/0!</v>
      </c>
    </row>
    <row r="165" ht="13.5" customHeight="1" spans="1:9" x14ac:dyDescent="0.25">
      <c r="A165" s="13" t="s">
        <v>152</v>
      </c>
      <c r="B165" s="14"/>
      <c r="C165" s="14"/>
      <c r="D165" s="14"/>
      <c r="E165" s="14"/>
      <c r="F165" s="14"/>
      <c r="G165" s="15"/>
      <c r="H165" s="16"/>
      <c r="I165" s="17"/>
    </row>
    <row r="166" ht="13.5" customHeight="1" spans="1:9" x14ac:dyDescent="0.25">
      <c r="A166" s="161" t="s">
        <v>153</v>
      </c>
      <c r="B166" s="161"/>
      <c r="C166" s="161"/>
      <c r="D166" s="161"/>
      <c r="E166" s="161"/>
      <c r="F166" s="161"/>
      <c r="G166" s="161"/>
      <c r="H166" s="161"/>
      <c r="I166" s="161"/>
    </row>
    <row r="167" ht="13.5" customHeight="1" spans="1:9" x14ac:dyDescent="0.25">
      <c r="A167" s="45" t="s">
        <v>154</v>
      </c>
      <c r="B167" s="46" t="s">
        <v>14</v>
      </c>
      <c r="C167" s="162">
        <v>3</v>
      </c>
      <c r="D167" s="20">
        <v>3100</v>
      </c>
      <c r="E167" s="112">
        <v>500</v>
      </c>
      <c r="F167" s="163">
        <f>C167*D167</f>
        <v>9300</v>
      </c>
      <c r="G167" s="163">
        <f>C167*E167</f>
        <v>1500</v>
      </c>
      <c r="H167" s="21">
        <f>F167-G167</f>
        <v>7800</v>
      </c>
      <c r="I167" s="22">
        <f>H167/F167</f>
        <v>0.8387096774193549</v>
      </c>
    </row>
    <row r="168" spans="1:9" x14ac:dyDescent="0.25">
      <c r="A168" s="45" t="s">
        <v>155</v>
      </c>
      <c r="B168" s="46" t="s">
        <v>20</v>
      </c>
      <c r="C168" s="162">
        <v>8</v>
      </c>
      <c r="D168" s="20">
        <v>3500</v>
      </c>
      <c r="E168" s="112">
        <v>170</v>
      </c>
      <c r="F168" s="163">
        <f t="shared" ref="F168:F174" si="76">C168*D168</f>
        <v>28000</v>
      </c>
      <c r="G168" s="163">
        <f t="shared" ref="G168:G174" si="77">C168*E168</f>
        <v>1360</v>
      </c>
      <c r="H168" s="21">
        <f t="shared" ref="H168:H174" si="78">F168-G168</f>
        <v>26640</v>
      </c>
      <c r="I168" s="22">
        <f t="shared" ref="I168:I173" si="79">H168/F168</f>
        <v>0.9514285714285714</v>
      </c>
    </row>
    <row r="169" spans="1:9" x14ac:dyDescent="0.25">
      <c r="A169" s="45" t="s">
        <v>156</v>
      </c>
      <c r="B169" s="46" t="s">
        <v>157</v>
      </c>
      <c r="C169" s="162">
        <v>3</v>
      </c>
      <c r="D169" s="20">
        <v>2500</v>
      </c>
      <c r="E169" s="112">
        <v>2000</v>
      </c>
      <c r="F169" s="163">
        <f t="shared" si="76"/>
        <v>7500</v>
      </c>
      <c r="G169" s="163">
        <f t="shared" si="77"/>
        <v>6000</v>
      </c>
      <c r="H169" s="21">
        <f t="shared" si="78"/>
        <v>1500</v>
      </c>
      <c r="I169" s="22">
        <f t="shared" si="79"/>
        <v>0.2</v>
      </c>
    </row>
    <row r="170" ht="13.5" customHeight="1" spans="1:9" x14ac:dyDescent="0.25">
      <c r="A170" s="45" t="s">
        <v>158</v>
      </c>
      <c r="B170" s="56" t="s">
        <v>20</v>
      </c>
      <c r="C170" s="162">
        <v>9</v>
      </c>
      <c r="D170" s="20">
        <v>2600</v>
      </c>
      <c r="E170" s="112">
        <v>1700</v>
      </c>
      <c r="F170" s="163">
        <f t="shared" si="76"/>
        <v>23400</v>
      </c>
      <c r="G170" s="163">
        <f t="shared" si="77"/>
        <v>15300</v>
      </c>
      <c r="H170" s="21">
        <f t="shared" si="78"/>
        <v>8100</v>
      </c>
      <c r="I170" s="22">
        <f t="shared" si="79"/>
        <v>0.34615384615384615</v>
      </c>
    </row>
    <row r="171" ht="13.5" customHeight="1" spans="1:9" x14ac:dyDescent="0.25">
      <c r="A171" s="164"/>
      <c r="B171" s="165"/>
      <c r="C171" s="165"/>
      <c r="D171" s="166" t="s">
        <v>26</v>
      </c>
      <c r="E171" s="167"/>
      <c r="F171" s="168">
        <f>SUM(F167:F170)</f>
        <v>68200</v>
      </c>
      <c r="G171" s="169">
        <f>SUM(G167:G170)</f>
        <v>24160</v>
      </c>
      <c r="H171" s="169">
        <f>SUM(H167:H170)</f>
        <v>44040</v>
      </c>
      <c r="I171" s="63">
        <f>AVERAGEA(I167:I170)</f>
        <v>0.5840730237504431</v>
      </c>
    </row>
    <row r="172" ht="13.5" customHeight="1" spans="1:9" x14ac:dyDescent="0.25">
      <c r="A172" s="170" t="s">
        <v>159</v>
      </c>
      <c r="B172" s="170"/>
      <c r="C172" s="170"/>
      <c r="D172" s="170"/>
      <c r="E172" s="170"/>
      <c r="F172" s="170"/>
      <c r="G172" s="170"/>
      <c r="H172" s="170"/>
      <c r="I172" s="170"/>
    </row>
    <row r="173" ht="13.5" customHeight="1" spans="1:9" x14ac:dyDescent="0.25">
      <c r="A173" s="45" t="s">
        <v>160</v>
      </c>
      <c r="B173" s="46" t="s">
        <v>14</v>
      </c>
      <c r="C173" s="162">
        <v>3</v>
      </c>
      <c r="D173" s="20">
        <v>3900</v>
      </c>
      <c r="E173" s="112">
        <v>3000</v>
      </c>
      <c r="F173" s="163">
        <f t="shared" si="76"/>
        <v>11700</v>
      </c>
      <c r="G173" s="163">
        <f t="shared" si="77"/>
        <v>9000</v>
      </c>
      <c r="H173" s="21">
        <f t="shared" si="78"/>
        <v>2700</v>
      </c>
      <c r="I173" s="22">
        <f t="shared" si="79"/>
        <v>0.23076923076923078</v>
      </c>
    </row>
    <row r="174" spans="1:9" x14ac:dyDescent="0.25">
      <c r="A174" s="45" t="s">
        <v>161</v>
      </c>
      <c r="B174" s="46" t="s">
        <v>14</v>
      </c>
      <c r="C174" s="162">
        <v>3</v>
      </c>
      <c r="D174" s="20">
        <v>5000</v>
      </c>
      <c r="E174" s="112">
        <v>4000</v>
      </c>
      <c r="F174" s="163">
        <f t="shared" si="76"/>
        <v>15000</v>
      </c>
      <c r="G174" s="163">
        <f t="shared" si="77"/>
        <v>12000</v>
      </c>
      <c r="H174" s="21">
        <f t="shared" si="78"/>
        <v>3000</v>
      </c>
      <c r="I174" s="22">
        <f>H174/F174</f>
        <v>0.2</v>
      </c>
    </row>
    <row r="175" ht="13.5" customHeight="1" spans="1:9" x14ac:dyDescent="0.25">
      <c r="A175" s="171" t="s">
        <v>26</v>
      </c>
      <c r="B175" s="171"/>
      <c r="C175" s="171"/>
      <c r="D175" s="171"/>
      <c r="E175" s="171"/>
      <c r="F175" s="146">
        <f>SUM(F173:F174)</f>
        <v>26700</v>
      </c>
      <c r="G175" s="146">
        <f>SUM(G173:G174)+G171</f>
        <v>45160</v>
      </c>
      <c r="H175" s="146">
        <f>SUM(H173:H174)+H171</f>
        <v>49740</v>
      </c>
      <c r="I175" s="63">
        <f>AVERAGE(I173:I174)</f>
        <v>0.2153846153846154</v>
      </c>
    </row>
    <row r="176" ht="13.5" customHeight="1" spans="1:9" x14ac:dyDescent="0.25">
      <c r="A176" s="172" t="s">
        <v>162</v>
      </c>
      <c r="B176" s="173"/>
      <c r="C176" s="173"/>
      <c r="D176" s="173"/>
      <c r="E176" s="174"/>
      <c r="F176" s="146">
        <f>SUM(F175+F171+F164+F149+F146+F126+F116+F108+F105+F97+F87+F79+F68+F56+F22+F15)</f>
        <v>3356052.0999999996</v>
      </c>
      <c r="G176" s="146">
        <f t="shared" ref="G176:H176" si="80">SUM(G175+G171+G164+G149+G146+G126+G116+G108+G105+G97+G87+G79+G68+G56+G22+G15)</f>
        <v>2003608.3</v>
      </c>
      <c r="H176" s="146">
        <f t="shared" si="80"/>
        <v>1420643.7999999998</v>
      </c>
      <c r="I176" s="51" t="e">
        <f>AVERAGE(I175,I171,I164,I149,I146,I126,I116,I108,I105,I97,I87,I79,I68,I56,I44,I22,I15)</f>
        <v>#DIV/0!</v>
      </c>
    </row>
    <row r="177" ht="13.5" customHeight="1" spans="1:9" x14ac:dyDescent="0.25">
      <c r="A177" s="80" t="s">
        <v>163</v>
      </c>
      <c r="B177" s="81"/>
      <c r="C177" s="81"/>
      <c r="D177" s="81"/>
      <c r="E177" s="81"/>
      <c r="F177" s="81"/>
      <c r="G177" s="10"/>
      <c r="H177" s="66"/>
      <c r="I177" s="66"/>
    </row>
    <row r="178" ht="13.5" customHeight="1" spans="1:9" x14ac:dyDescent="0.25">
      <c r="A178" s="31" t="s">
        <v>164</v>
      </c>
      <c r="B178" s="59" t="s">
        <v>165</v>
      </c>
      <c r="C178" s="175"/>
      <c r="D178" s="34">
        <v>3500</v>
      </c>
      <c r="E178" s="67"/>
      <c r="F178" s="176"/>
      <c r="G178" s="67"/>
      <c r="H178" s="177"/>
      <c r="I178" s="112" t="e">
        <f>H178/F178</f>
        <v>#DIV/0!</v>
      </c>
    </row>
    <row r="179" ht="13.5" customHeight="1" spans="1:9" x14ac:dyDescent="0.25">
      <c r="A179" s="31" t="s">
        <v>166</v>
      </c>
      <c r="B179" s="59" t="s">
        <v>165</v>
      </c>
      <c r="C179" s="175"/>
      <c r="D179" s="34">
        <v>1000</v>
      </c>
      <c r="E179" s="67"/>
      <c r="F179" s="176"/>
      <c r="G179" s="67"/>
      <c r="H179" s="178"/>
      <c r="I179" s="112" t="e">
        <f t="shared" ref="I179:I184" si="81">H179/F179</f>
        <v>#DIV/0!</v>
      </c>
    </row>
    <row r="180" ht="13.5" customHeight="1" spans="1:9" x14ac:dyDescent="0.25">
      <c r="A180" s="31" t="s">
        <v>167</v>
      </c>
      <c r="B180" s="59" t="s">
        <v>165</v>
      </c>
      <c r="C180" s="175"/>
      <c r="D180" s="34">
        <v>12000</v>
      </c>
      <c r="E180" s="67"/>
      <c r="F180" s="176"/>
      <c r="G180" s="67"/>
      <c r="H180" s="66"/>
      <c r="I180" s="112" t="e">
        <f t="shared" si="81"/>
        <v>#DIV/0!</v>
      </c>
    </row>
    <row r="181" ht="13.5" customHeight="1" spans="1:9" x14ac:dyDescent="0.25">
      <c r="A181" s="31" t="s">
        <v>168</v>
      </c>
      <c r="B181" s="59" t="s">
        <v>165</v>
      </c>
      <c r="C181" s="175"/>
      <c r="D181" s="34">
        <v>6500</v>
      </c>
      <c r="E181" s="67"/>
      <c r="F181" s="176"/>
      <c r="G181" s="67"/>
      <c r="H181" s="66"/>
      <c r="I181" s="112" t="e">
        <f t="shared" si="81"/>
        <v>#DIV/0!</v>
      </c>
    </row>
    <row r="182" ht="13.5" customHeight="1" spans="1:9" x14ac:dyDescent="0.25">
      <c r="A182" s="31" t="s">
        <v>169</v>
      </c>
      <c r="B182" s="59" t="s">
        <v>170</v>
      </c>
      <c r="C182" s="179"/>
      <c r="D182" s="34">
        <v>700</v>
      </c>
      <c r="E182" s="67"/>
      <c r="F182" s="176"/>
      <c r="G182" s="67"/>
      <c r="H182" s="66"/>
      <c r="I182" s="112" t="e">
        <f t="shared" si="81"/>
        <v>#DIV/0!</v>
      </c>
    </row>
    <row r="183" ht="13.5" customHeight="1" spans="1:9" x14ac:dyDescent="0.25">
      <c r="A183" s="31" t="s">
        <v>171</v>
      </c>
      <c r="B183" s="59" t="s">
        <v>172</v>
      </c>
      <c r="C183" s="175"/>
      <c r="D183" s="34">
        <v>300</v>
      </c>
      <c r="E183" s="74"/>
      <c r="F183" s="176"/>
      <c r="G183" s="67"/>
      <c r="H183" s="66"/>
      <c r="I183" s="112" t="e">
        <f t="shared" si="81"/>
        <v>#DIV/0!</v>
      </c>
    </row>
    <row r="184" ht="13.5" customHeight="1" spans="1:9" x14ac:dyDescent="0.25">
      <c r="A184" s="31" t="s">
        <v>173</v>
      </c>
      <c r="B184" s="59" t="s">
        <v>170</v>
      </c>
      <c r="C184" s="179"/>
      <c r="D184" s="34">
        <v>700</v>
      </c>
      <c r="E184" s="67"/>
      <c r="F184" s="176"/>
      <c r="G184" s="67"/>
      <c r="H184" s="66"/>
      <c r="I184" s="112" t="e">
        <f t="shared" si="81"/>
        <v>#DIV/0!</v>
      </c>
    </row>
    <row r="185" spans="1:9" x14ac:dyDescent="0.25">
      <c r="A185" s="36" t="s">
        <v>174</v>
      </c>
      <c r="B185" s="103" t="s">
        <v>175</v>
      </c>
      <c r="C185" s="180"/>
      <c r="D185" s="181">
        <v>0.12</v>
      </c>
      <c r="E185" s="131"/>
      <c r="F185" s="182">
        <f>F176*D185</f>
        <v>402726.2519999999</v>
      </c>
      <c r="G185" s="131"/>
      <c r="H185" s="183"/>
      <c r="I185" s="169">
        <f>SUM(F176*D185)</f>
        <v>402726.2519999999</v>
      </c>
    </row>
    <row r="186" ht="13.5" customHeight="1" spans="1:9" x14ac:dyDescent="0.25">
      <c r="A186" s="184" t="s">
        <v>26</v>
      </c>
      <c r="B186" s="185"/>
      <c r="C186" s="185"/>
      <c r="D186" s="185"/>
      <c r="E186" s="186"/>
      <c r="F186" s="146">
        <f>SUM(F176)+SUM(F178:F185)</f>
        <v>3758778.3519999995</v>
      </c>
      <c r="G186" s="146">
        <f t="shared" ref="G186:H186" si="82">SUM(G176)+SUM(G178:G185)</f>
        <v>2003608.3</v>
      </c>
      <c r="H186" s="146">
        <f t="shared" si="82"/>
        <v>1420643.7999999998</v>
      </c>
      <c r="I186" s="63" t="e">
        <f>AVERAGE(I178:I184)+I176</f>
        <v>#DIV/0!</v>
      </c>
    </row>
    <row r="187" ht="13.5" customHeight="1" spans="1:9" x14ac:dyDescent="0.25">
      <c r="A187" s="187"/>
      <c r="B187" s="187"/>
      <c r="C187" s="187"/>
      <c r="D187" s="187"/>
      <c r="E187" s="187"/>
      <c r="F187" s="187"/>
      <c r="G187" s="187"/>
      <c r="H187" s="188"/>
      <c r="I187" s="188"/>
    </row>
    <row r="188" ht="13.5" customHeight="1" spans="1:9" x14ac:dyDescent="0.25">
      <c r="A188" s="189" t="s">
        <v>176</v>
      </c>
      <c r="B188" s="189"/>
      <c r="C188" s="189"/>
      <c r="D188" s="189"/>
      <c r="E188" s="189"/>
      <c r="F188" s="189"/>
      <c r="G188" s="189"/>
      <c r="H188" s="188"/>
      <c r="I188" s="188"/>
    </row>
    <row r="189" ht="13.5" customHeight="1" spans="1:9" x14ac:dyDescent="0.25">
      <c r="A189" s="188"/>
      <c r="B189" s="188"/>
      <c r="C189" s="188"/>
      <c r="D189" s="188"/>
      <c r="E189" s="188"/>
      <c r="F189" s="188"/>
      <c r="G189" s="188"/>
      <c r="H189" s="188"/>
      <c r="I189" s="188"/>
    </row>
    <row r="190" ht="13.5" customHeight="1" spans="1:9" x14ac:dyDescent="0.25">
      <c r="A190" s="188"/>
      <c r="B190" s="188"/>
      <c r="C190" s="188"/>
      <c r="D190" s="188"/>
      <c r="E190" s="188"/>
      <c r="F190" s="188"/>
      <c r="G190" s="188"/>
      <c r="H190" s="188"/>
      <c r="I190" s="188"/>
    </row>
    <row r="191" ht="13.5" customHeight="1" spans="1:9" x14ac:dyDescent="0.25">
      <c r="A191" s="188"/>
      <c r="B191" s="188"/>
      <c r="C191" s="188"/>
      <c r="D191" s="188"/>
      <c r="E191" s="188"/>
      <c r="F191" s="188"/>
      <c r="G191" s="188"/>
      <c r="H191" s="188"/>
      <c r="I191" s="188"/>
    </row>
    <row r="192" spans="1:9" x14ac:dyDescent="0.25">
      <c r="A192" s="188"/>
      <c r="B192" s="188"/>
      <c r="C192" s="188"/>
      <c r="D192" s="188"/>
      <c r="E192" s="188"/>
      <c r="F192" s="188"/>
      <c r="G192" s="188"/>
      <c r="H192" s="188"/>
      <c r="I192" s="188"/>
    </row>
    <row r="193" spans="1:9" x14ac:dyDescent="0.25">
      <c r="A193" s="188"/>
      <c r="B193" s="188"/>
      <c r="C193" s="188"/>
      <c r="D193" s="188"/>
      <c r="E193" s="188"/>
      <c r="F193" s="188"/>
      <c r="G193" s="188"/>
      <c r="H193" s="188"/>
      <c r="I193" s="188"/>
    </row>
    <row r="194" spans="1:9" x14ac:dyDescent="0.25">
      <c r="A194" s="188"/>
      <c r="B194" s="188"/>
      <c r="C194" s="188"/>
      <c r="D194" s="188"/>
      <c r="E194" s="188"/>
      <c r="F194" s="188"/>
      <c r="G194" s="188"/>
      <c r="H194" s="188"/>
      <c r="I194" s="188"/>
    </row>
    <row r="195" spans="1:9" x14ac:dyDescent="0.25">
      <c r="A195" s="188"/>
      <c r="B195" s="188"/>
      <c r="C195" s="188"/>
      <c r="D195" s="188"/>
      <c r="E195" s="188"/>
      <c r="F195" s="188"/>
      <c r="G195" s="188"/>
      <c r="H195" s="188"/>
      <c r="I195" s="188"/>
    </row>
    <row r="196" spans="1:9" x14ac:dyDescent="0.25">
      <c r="A196" s="188"/>
      <c r="B196" s="188"/>
      <c r="C196" s="188"/>
      <c r="D196" s="188"/>
      <c r="E196" s="188"/>
      <c r="F196" s="188"/>
      <c r="G196" s="188"/>
      <c r="H196" s="188"/>
      <c r="I196" s="188"/>
    </row>
    <row r="197" ht="13.5" customHeight="1" spans="1:9" x14ac:dyDescent="0.25">
      <c r="A197" s="188"/>
      <c r="B197" s="188"/>
      <c r="C197" s="188"/>
      <c r="D197" s="188"/>
      <c r="E197" s="188"/>
      <c r="F197" s="188"/>
      <c r="G197" s="188"/>
      <c r="H197" s="188"/>
      <c r="I197" s="188"/>
    </row>
    <row r="198" spans="1:9" x14ac:dyDescent="0.25">
      <c r="A198" s="188"/>
      <c r="B198" s="188"/>
      <c r="C198" s="188"/>
      <c r="D198" s="188"/>
      <c r="E198" s="188"/>
      <c r="F198" s="188"/>
      <c r="G198" s="188"/>
      <c r="H198" s="188"/>
      <c r="I198" s="188"/>
    </row>
    <row r="199" spans="1:9" x14ac:dyDescent="0.25">
      <c r="A199" s="188"/>
      <c r="B199" s="188"/>
      <c r="C199" s="188"/>
      <c r="D199" s="188"/>
      <c r="E199" s="188"/>
      <c r="F199" s="188"/>
      <c r="G199" s="188"/>
      <c r="H199" s="188"/>
      <c r="I199" s="188"/>
    </row>
    <row r="200" ht="21" customHeight="1" spans="1:10" x14ac:dyDescent="0.25">
      <c r="A200" s="188"/>
      <c r="B200" s="188"/>
      <c r="C200" s="188"/>
      <c r="D200" s="188"/>
      <c r="E200" s="188"/>
      <c r="F200" s="188"/>
      <c r="G200" s="188"/>
      <c r="H200" s="188"/>
      <c r="I200" s="188"/>
      <c r="J200" s="190"/>
    </row>
    <row r="201" ht="13.5" customHeight="1" spans="1:7" x14ac:dyDescent="0.25">
      <c r="A201" s="188"/>
      <c r="B201" s="188"/>
      <c r="C201" s="188"/>
      <c r="D201" s="188"/>
      <c r="E201" s="188"/>
      <c r="F201" s="188"/>
      <c r="G201" s="188"/>
    </row>
    <row r="202" ht="13.5" customHeight="1" spans="1:7" x14ac:dyDescent="0.25">
      <c r="A202" s="188"/>
      <c r="B202" s="188"/>
      <c r="C202" s="188"/>
      <c r="D202" s="188"/>
      <c r="E202" s="188"/>
      <c r="F202" s="188"/>
      <c r="G202" s="188"/>
    </row>
    <row r="203" ht="13.5" customHeight="1" spans="1:7" x14ac:dyDescent="0.25">
      <c r="A203" s="188"/>
      <c r="B203" s="188"/>
      <c r="C203" s="188"/>
      <c r="D203" s="188"/>
      <c r="E203" s="188"/>
      <c r="F203" s="188"/>
      <c r="G203" s="188"/>
    </row>
    <row r="204" ht="13.5" customHeight="1" spans="1:7" x14ac:dyDescent="0.25">
      <c r="A204" s="188"/>
      <c r="B204" s="188"/>
      <c r="C204" s="188"/>
      <c r="D204" s="188"/>
      <c r="E204" s="188"/>
      <c r="F204" s="188"/>
      <c r="G204" s="188"/>
    </row>
    <row r="205" spans="1:7" x14ac:dyDescent="0.25">
      <c r="A205" s="188"/>
      <c r="B205" s="188"/>
      <c r="C205" s="188"/>
      <c r="D205" s="188"/>
      <c r="E205" s="188"/>
      <c r="F205" s="188"/>
      <c r="G205" s="188"/>
    </row>
    <row r="206" ht="13.5" customHeight="1" spans="1:7" x14ac:dyDescent="0.25">
      <c r="A206" s="188"/>
      <c r="B206" s="188"/>
      <c r="C206" s="188"/>
      <c r="D206" s="188"/>
      <c r="E206" s="188"/>
      <c r="F206" s="188"/>
      <c r="G206" s="188"/>
    </row>
    <row r="207" spans="1:7" x14ac:dyDescent="0.25">
      <c r="A207" s="188"/>
      <c r="B207" s="188"/>
      <c r="C207" s="188"/>
      <c r="D207" s="188"/>
      <c r="E207" s="188"/>
      <c r="F207" s="188"/>
      <c r="G207" s="188"/>
    </row>
    <row r="208" ht="13.5" customHeight="1" spans="1:7" x14ac:dyDescent="0.25">
      <c r="A208" s="188"/>
      <c r="B208" s="188"/>
      <c r="C208" s="188"/>
      <c r="D208" s="188"/>
      <c r="E208" s="188"/>
      <c r="F208" s="188"/>
      <c r="G208" s="188"/>
    </row>
    <row r="209" ht="13.5" customHeight="1" x14ac:dyDescent="0.25"/>
    <row r="211" ht="13.5" customHeight="1" x14ac:dyDescent="0.25"/>
    <row r="214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spans="1:1" x14ac:dyDescent="0.25"/>
    <row r="221" ht="21" customHeight="1" spans="1:1" x14ac:dyDescent="0.25"/>
    <row r="222" ht="13.5" customHeight="1" spans="1:1" x14ac:dyDescent="0.25"/>
    <row r="223" ht="21" customHeight="1" spans="1:1" x14ac:dyDescent="0.25"/>
    <row r="224" ht="21" customHeight="1" spans="1:1" x14ac:dyDescent="0.25"/>
    <row r="225" ht="13.5" customHeight="1" spans="1:1" x14ac:dyDescent="0.25"/>
    <row r="226" ht="29.85" customHeight="1" spans="1:1" x14ac:dyDescent="0.25"/>
    <row r="227" ht="12" customHeight="1" spans="1:1" x14ac:dyDescent="0.25"/>
  </sheetData>
  <mergeCells count="69">
    <mergeCell ref="A1:H1"/>
    <mergeCell ref="A2:H2"/>
    <mergeCell ref="A3:A4"/>
    <mergeCell ref="B3:B4"/>
    <mergeCell ref="C3:C4"/>
    <mergeCell ref="D3:D4"/>
    <mergeCell ref="E3:E4"/>
    <mergeCell ref="G3:G4"/>
    <mergeCell ref="H3:H4"/>
    <mergeCell ref="I3:I4"/>
    <mergeCell ref="A5:F5"/>
    <mergeCell ref="G5:I5"/>
    <mergeCell ref="A15:E15"/>
    <mergeCell ref="A16:F16"/>
    <mergeCell ref="G16:I16"/>
    <mergeCell ref="A22:E22"/>
    <mergeCell ref="A23:F23"/>
    <mergeCell ref="A44:E44"/>
    <mergeCell ref="A45:F45"/>
    <mergeCell ref="G45:I45"/>
    <mergeCell ref="A56:E56"/>
    <mergeCell ref="A57:F57"/>
    <mergeCell ref="G57:I57"/>
    <mergeCell ref="A58:F58"/>
    <mergeCell ref="G58:I58"/>
    <mergeCell ref="A68:E68"/>
    <mergeCell ref="A69:F69"/>
    <mergeCell ref="A79:E79"/>
    <mergeCell ref="A80:F80"/>
    <mergeCell ref="G80:I80"/>
    <mergeCell ref="A81:F81"/>
    <mergeCell ref="G81:I81"/>
    <mergeCell ref="A87:E87"/>
    <mergeCell ref="A88:F88"/>
    <mergeCell ref="A97:E97"/>
    <mergeCell ref="J97:L97"/>
    <mergeCell ref="A98:F98"/>
    <mergeCell ref="G98:I98"/>
    <mergeCell ref="A99:F99"/>
    <mergeCell ref="G99:I99"/>
    <mergeCell ref="A105:E105"/>
    <mergeCell ref="A106:F106"/>
    <mergeCell ref="G106:I106"/>
    <mergeCell ref="A108:E108"/>
    <mergeCell ref="A109:F109"/>
    <mergeCell ref="G109:I109"/>
    <mergeCell ref="A116:E116"/>
    <mergeCell ref="A117:F117"/>
    <mergeCell ref="G117:I117"/>
    <mergeCell ref="A126:E126"/>
    <mergeCell ref="A127:F127"/>
    <mergeCell ref="G127:I127"/>
    <mergeCell ref="A146:E146"/>
    <mergeCell ref="A147:F147"/>
    <mergeCell ref="G147:I147"/>
    <mergeCell ref="A149:E149"/>
    <mergeCell ref="A150:F150"/>
    <mergeCell ref="G150:I150"/>
    <mergeCell ref="J150:L150"/>
    <mergeCell ref="A164:E164"/>
    <mergeCell ref="A165:F165"/>
    <mergeCell ref="G165:I165"/>
    <mergeCell ref="A166:I166"/>
    <mergeCell ref="D171:E171"/>
    <mergeCell ref="A172:I172"/>
    <mergeCell ref="A175:E175"/>
    <mergeCell ref="A176:E176"/>
    <mergeCell ref="A177:F177"/>
    <mergeCell ref="A186:E18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zoomScale="100" zoomScaleNormal="100">
      <selection activeCell="B28" sqref="B28"/>
    </sheetView>
  </sheetViews>
  <sheetFormatPr defaultRowHeight="13.2" outlineLevelRow="0" outlineLevelCol="0" x14ac:dyDescent="0.25" customHeight="1"/>
  <cols>
    <col min="1" max="1" width="30.6640625" customWidth="1"/>
    <col min="2" max="2" width="48.33203125" customWidth="1"/>
    <col min="3" max="3" width="28" customWidth="1"/>
    <col min="4" max="4" width="46.44140625" customWidth="1"/>
  </cols>
  <sheetData>
    <row r="1" ht="13.8" customHeight="1" spans="1:4" x14ac:dyDescent="0.25">
      <c r="A1" s="191"/>
      <c r="B1" s="191" t="s">
        <v>177</v>
      </c>
      <c r="C1" s="191" t="s">
        <v>178</v>
      </c>
      <c r="D1" s="191" t="s">
        <v>179</v>
      </c>
    </row>
    <row r="2" ht="13.8" customHeight="1" spans="1:4" x14ac:dyDescent="0.25">
      <c r="A2" s="192" t="s">
        <v>180</v>
      </c>
      <c r="B2" s="193" t="s">
        <v>181</v>
      </c>
      <c r="C2" s="192"/>
      <c r="D2" s="192"/>
    </row>
    <row r="3" ht="13.8" customHeight="1" spans="1:4" x14ac:dyDescent="0.25">
      <c r="A3" s="192" t="s">
        <v>182</v>
      </c>
      <c r="B3" s="194" t="s">
        <v>183</v>
      </c>
      <c r="C3" s="194" t="s">
        <v>184</v>
      </c>
      <c r="D3" s="195"/>
    </row>
    <row r="4" ht="13.8" customHeight="1" spans="1:4" x14ac:dyDescent="0.25">
      <c r="A4" s="192" t="s">
        <v>185</v>
      </c>
      <c r="B4" s="194" t="s">
        <v>82</v>
      </c>
      <c r="C4" s="194" t="s">
        <v>186</v>
      </c>
      <c r="D4" s="195"/>
    </row>
    <row r="5" ht="13.8" customHeight="1" spans="1:4" x14ac:dyDescent="0.25">
      <c r="A5" s="192" t="s">
        <v>187</v>
      </c>
      <c r="B5" s="194" t="s">
        <v>188</v>
      </c>
      <c r="C5" s="194" t="s">
        <v>189</v>
      </c>
      <c r="D5" s="195"/>
    </row>
    <row r="6" ht="13.8" customHeight="1" spans="1:4" x14ac:dyDescent="0.25">
      <c r="A6" s="192" t="s">
        <v>190</v>
      </c>
      <c r="B6" s="194" t="s">
        <v>191</v>
      </c>
      <c r="C6" s="194" t="s">
        <v>189</v>
      </c>
      <c r="D6" s="195"/>
    </row>
    <row r="7" ht="13.8" customHeight="1" spans="1:4" x14ac:dyDescent="0.25">
      <c r="A7" s="192" t="s">
        <v>192</v>
      </c>
      <c r="B7" s="194" t="s">
        <v>193</v>
      </c>
      <c r="C7" s="194" t="s">
        <v>194</v>
      </c>
      <c r="D7" s="195"/>
    </row>
    <row r="8" ht="13.8" customHeight="1" spans="1:4" x14ac:dyDescent="0.25">
      <c r="A8" s="192" t="s">
        <v>195</v>
      </c>
      <c r="B8" s="194" t="s">
        <v>196</v>
      </c>
      <c r="C8" s="194" t="s">
        <v>186</v>
      </c>
      <c r="D8" s="195"/>
    </row>
    <row r="9" ht="13.8" customHeight="1" spans="1:4" x14ac:dyDescent="0.25">
      <c r="A9" s="192" t="s">
        <v>197</v>
      </c>
      <c r="B9" s="196" t="s">
        <v>198</v>
      </c>
      <c r="C9" s="194" t="s">
        <v>186</v>
      </c>
      <c r="D9" s="195"/>
    </row>
    <row r="10" ht="13.8" customHeight="1" spans="1:4" x14ac:dyDescent="0.25">
      <c r="A10" s="192" t="s">
        <v>199</v>
      </c>
      <c r="B10" s="194" t="s">
        <v>200</v>
      </c>
      <c r="C10" s="194" t="s">
        <v>201</v>
      </c>
      <c r="D10" s="195"/>
    </row>
    <row r="11" ht="13.8" customHeight="1" spans="1:4" x14ac:dyDescent="0.25">
      <c r="A11" s="192" t="s">
        <v>202</v>
      </c>
      <c r="B11" s="194" t="s">
        <v>203</v>
      </c>
      <c r="C11" s="194" t="s">
        <v>186</v>
      </c>
      <c r="D11" s="195"/>
    </row>
    <row r="12" ht="13.8" customHeight="1" spans="1:4" x14ac:dyDescent="0.25">
      <c r="A12" s="192" t="s">
        <v>204</v>
      </c>
      <c r="B12" s="194" t="s">
        <v>205</v>
      </c>
      <c r="C12" s="194" t="s">
        <v>206</v>
      </c>
      <c r="D12" s="195"/>
    </row>
    <row r="13" ht="13.8" customHeight="1" spans="1:4" x14ac:dyDescent="0.25">
      <c r="A13" s="192" t="s">
        <v>207</v>
      </c>
      <c r="B13" s="194" t="s">
        <v>208</v>
      </c>
      <c r="C13" s="194" t="s">
        <v>186</v>
      </c>
      <c r="D13" s="195"/>
    </row>
    <row r="14" ht="13.8" customHeight="1" spans="1:4" x14ac:dyDescent="0.25">
      <c r="A14" s="192" t="s">
        <v>209</v>
      </c>
      <c r="B14" s="194" t="s">
        <v>210</v>
      </c>
      <c r="C14" s="194" t="s">
        <v>211</v>
      </c>
      <c r="D14" s="195"/>
    </row>
    <row r="15" ht="13.8" customHeight="1" spans="1:4" x14ac:dyDescent="0.25">
      <c r="A15" s="192" t="s">
        <v>212</v>
      </c>
      <c r="B15" s="194" t="s">
        <v>213</v>
      </c>
      <c r="C15" s="194" t="s">
        <v>184</v>
      </c>
      <c r="D15" s="195"/>
    </row>
    <row r="16" ht="13.8" customHeight="1" spans="1:4" x14ac:dyDescent="0.25">
      <c r="A16" s="192" t="s">
        <v>214</v>
      </c>
      <c r="B16" s="194" t="s">
        <v>215</v>
      </c>
      <c r="C16" s="194" t="s">
        <v>189</v>
      </c>
      <c r="D16" s="195"/>
    </row>
    <row r="17" ht="13.8" customHeight="1" spans="1:4" x14ac:dyDescent="0.25">
      <c r="A17" s="192" t="s">
        <v>216</v>
      </c>
      <c r="B17" s="194" t="s">
        <v>217</v>
      </c>
      <c r="C17" s="194" t="s">
        <v>211</v>
      </c>
      <c r="D17" s="195"/>
    </row>
    <row r="18" spans="1:4" x14ac:dyDescent="0.25">
      <c r="A18" s="195"/>
      <c r="B18" s="194" t="s">
        <v>218</v>
      </c>
      <c r="C18" s="194"/>
      <c r="D18" s="195"/>
    </row>
    <row r="21" spans="1:3" x14ac:dyDescent="0.25">
      <c r="A21" s="194" t="s">
        <v>219</v>
      </c>
    </row>
    <row r="22" spans="1:3" x14ac:dyDescent="0.25">
      <c r="A22" s="194" t="s">
        <v>220</v>
      </c>
    </row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Расчет</vt:lpstr>
      <vt:lpstr>График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>№25/260 Загоровского</dc:title>
  <cp:lastModifiedBy>Хороший человек</cp:lastModifiedBy>
  <dcterms:created xsi:type="dcterms:W3CDTF">2025-10-22T12:49:08Z</dcterms:created>
  <dcterms:modified xsi:type="dcterms:W3CDTF">2026-08-31T04:16:39Z</dcterms:modified>
</cp:coreProperties>
</file>